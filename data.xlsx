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activeX/activeX1.xml" ContentType="application/vnd.ms-office.activeX+xml"/>
  <Override PartName="/xl/activeX/activeX1.bin" ContentType="application/vnd.ms-office.activeX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man.das\Downloads\"/>
    </mc:Choice>
  </mc:AlternateContent>
  <xr:revisionPtr revIDLastSave="4" documentId="11_1799117BFECBBAAB1A72CEEC6C931A9E7538B9F6" xr6:coauthVersionLast="47" xr6:coauthVersionMax="47" xr10:uidLastSave="{02B23091-FB45-46A1-88C8-BE2A0D97423A}"/>
  <bookViews>
    <workbookView xWindow="0" yWindow="0" windowWidth="20490" windowHeight="6855" tabRatio="690" xr2:uid="{00000000-000D-0000-FFFF-FFFF00000000}"/>
  </bookViews>
  <sheets>
    <sheet name="Operational MIS" sheetId="11" r:id="rId1"/>
  </sheets>
  <externalReferences>
    <externalReference r:id="rId2"/>
    <externalReference r:id="rId3"/>
    <externalReference r:id="rId4"/>
  </externalReferences>
  <definedNames>
    <definedName name="\p">#REF!</definedName>
    <definedName name="_D87840">#REF!</definedName>
    <definedName name="_Fill" hidden="1">#REF!</definedName>
    <definedName name="_xlnm._FilterDatabase" localSheetId="0" hidden="1">'Operational MIS'!#REF!</definedName>
    <definedName name="_G87634">#REF!</definedName>
    <definedName name="_Parse_In" hidden="1">#REF!</definedName>
    <definedName name="_za1">'[1]License Area'!#REF!</definedName>
    <definedName name="_zz1">'[1]License Area'!#REF!</definedName>
    <definedName name="ALLOCATION">#REF!</definedName>
    <definedName name="ALOCHDG">#REF!</definedName>
    <definedName name="_xlnm.Criteria">#REF!</definedName>
    <definedName name="Criteria_MI">#REF!</definedName>
    <definedName name="_xlnm.Database">#REF!</definedName>
    <definedName name="Database_MI">#REF!</definedName>
    <definedName name="disc">#REF!</definedName>
    <definedName name="DPC">#REF!</definedName>
    <definedName name="DPCHDG">#REF!</definedName>
    <definedName name="_xlnm.Extract">#REF!</definedName>
    <definedName name="Extract_MI">#REF!</definedName>
    <definedName name="mth">'[2]per unit'!#REF!</definedName>
    <definedName name="_xlnm.Print_Area" localSheetId="0">'Operational MIS'!$B$2:$P$58</definedName>
    <definedName name="RANGE1">#REF!</definedName>
    <definedName name="RANGE2">#REF!</definedName>
    <definedName name="RANGE3">#REF!</definedName>
    <definedName name="Renu">'[3]License Area'!#REF!</definedName>
    <definedName name="SUMMARY">#REF!</definedName>
    <definedName name="TAR">#REF!</definedName>
    <definedName name="TAXONSALE">#REF!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1" l="1"/>
  <c r="J39" i="11" s="1"/>
  <c r="K13" i="11"/>
  <c r="L13" i="11"/>
  <c r="M13" i="11"/>
  <c r="N13" i="11"/>
  <c r="O13" i="11"/>
  <c r="P13" i="11"/>
  <c r="P41" i="11" l="1"/>
  <c r="P37" i="11"/>
  <c r="L37" i="11"/>
  <c r="L41" i="11"/>
  <c r="O41" i="11"/>
  <c r="O37" i="11"/>
  <c r="M37" i="11"/>
  <c r="M41" i="11"/>
  <c r="K37" i="11"/>
  <c r="K41" i="11"/>
  <c r="N41" i="11"/>
  <c r="N37" i="11"/>
  <c r="J37" i="11"/>
  <c r="P12" i="11"/>
  <c r="O12" i="11"/>
  <c r="N12" i="11"/>
  <c r="M12" i="11"/>
  <c r="L12" i="11"/>
  <c r="K12" i="11"/>
  <c r="I13" i="11"/>
  <c r="I39" i="11" s="1"/>
  <c r="H13" i="11"/>
  <c r="H39" i="11" s="1"/>
  <c r="J12" i="11"/>
  <c r="J38" i="11" s="1"/>
  <c r="I12" i="11"/>
  <c r="I38" i="11" s="1"/>
  <c r="H12" i="11"/>
  <c r="G13" i="11"/>
  <c r="G39" i="11" s="1"/>
  <c r="F13" i="11"/>
  <c r="F39" i="11" s="1"/>
  <c r="G12" i="11"/>
  <c r="G38" i="11" s="1"/>
  <c r="F12" i="11"/>
  <c r="F38" i="11" s="1"/>
  <c r="E12" i="11"/>
  <c r="E38" i="11" s="1"/>
  <c r="E13" i="11"/>
  <c r="E39" i="11" s="1"/>
  <c r="H36" i="11" l="1"/>
  <c r="H38" i="11"/>
  <c r="K40" i="11"/>
  <c r="K36" i="11"/>
  <c r="L40" i="11"/>
  <c r="L36" i="11"/>
  <c r="M40" i="11"/>
  <c r="M36" i="11"/>
  <c r="N38" i="11"/>
  <c r="N36" i="11"/>
  <c r="O38" i="11"/>
  <c r="O40" i="11" s="1"/>
  <c r="O36" i="11"/>
  <c r="P38" i="11"/>
  <c r="P40" i="11" s="1"/>
  <c r="P36" i="11"/>
  <c r="J36" i="11"/>
  <c r="I37" i="11"/>
  <c r="I36" i="11"/>
  <c r="H37" i="11"/>
  <c r="G36" i="11"/>
  <c r="F36" i="11"/>
  <c r="G37" i="11"/>
  <c r="F37" i="11"/>
  <c r="E37" i="11"/>
  <c r="E36" i="11"/>
  <c r="N40" i="11" l="1"/>
  <c r="F4" i="11" l="1"/>
  <c r="G4" i="11"/>
  <c r="G16" i="11" l="1"/>
  <c r="G17" i="11"/>
  <c r="G19" i="11"/>
  <c r="G14" i="11"/>
  <c r="G18" i="11"/>
  <c r="G15" i="11"/>
  <c r="G20" i="11"/>
  <c r="F17" i="11"/>
  <c r="F18" i="11"/>
  <c r="F16" i="11"/>
  <c r="F14" i="11"/>
  <c r="F15" i="11"/>
  <c r="F19" i="11"/>
  <c r="F20" i="11"/>
  <c r="P32" i="11" l="1"/>
  <c r="P33" i="11"/>
  <c r="O33" i="11" l="1"/>
  <c r="O32" i="11"/>
  <c r="N32" i="11" l="1"/>
  <c r="M33" i="11" l="1"/>
  <c r="M32" i="11"/>
  <c r="L33" i="11" l="1"/>
  <c r="L32" i="11"/>
  <c r="K33" i="11" l="1"/>
  <c r="K32" i="11"/>
  <c r="J32" i="11" l="1"/>
  <c r="I33" i="11" l="1"/>
  <c r="I32" i="11" l="1"/>
  <c r="H32" i="11" l="1"/>
  <c r="G33" i="11" l="1"/>
  <c r="G32" i="11" l="1"/>
  <c r="F33" i="11" l="1"/>
  <c r="F32" i="11"/>
  <c r="E33" i="11" l="1"/>
  <c r="E32" i="11"/>
  <c r="N33" i="11" l="1"/>
  <c r="J33" i="11" l="1"/>
  <c r="H33" i="11" l="1"/>
  <c r="G21" i="11" l="1"/>
  <c r="F21" i="11"/>
  <c r="H4" i="11"/>
  <c r="E4" i="11"/>
  <c r="H17" i="11" l="1"/>
  <c r="H15" i="11"/>
  <c r="H14" i="11"/>
  <c r="H21" i="11"/>
  <c r="H18" i="11"/>
  <c r="H20" i="11"/>
  <c r="H19" i="11"/>
  <c r="H16" i="11"/>
  <c r="E14" i="11"/>
  <c r="E21" i="11"/>
  <c r="E17" i="11"/>
  <c r="E16" i="11"/>
  <c r="E18" i="11"/>
  <c r="E19" i="11"/>
  <c r="E15" i="11"/>
  <c r="E20" i="11" l="1"/>
  <c r="P4" i="11" l="1"/>
  <c r="O4" i="11"/>
  <c r="N4" i="11"/>
  <c r="P17" i="11" l="1"/>
  <c r="P15" i="11"/>
  <c r="P20" i="11"/>
  <c r="P16" i="11"/>
  <c r="P14" i="11"/>
  <c r="P18" i="11"/>
  <c r="P19" i="11"/>
  <c r="P21" i="11"/>
  <c r="O18" i="11"/>
  <c r="O17" i="11"/>
  <c r="O16" i="11"/>
  <c r="O15" i="11"/>
  <c r="O14" i="11"/>
  <c r="O21" i="11"/>
  <c r="O20" i="11"/>
  <c r="O19" i="11"/>
  <c r="N21" i="11"/>
  <c r="N20" i="11"/>
  <c r="N15" i="11"/>
  <c r="N19" i="11"/>
  <c r="N18" i="11"/>
  <c r="N17" i="11"/>
  <c r="N16" i="11"/>
  <c r="N14" i="11"/>
  <c r="M4" i="11" l="1"/>
  <c r="L4" i="11"/>
  <c r="K4" i="11"/>
  <c r="J4" i="11"/>
  <c r="J20" i="11" s="1"/>
  <c r="I4" i="11"/>
  <c r="M21" i="11" l="1"/>
  <c r="M20" i="11"/>
  <c r="M19" i="11"/>
  <c r="M18" i="11"/>
  <c r="M17" i="11"/>
  <c r="M15" i="11"/>
  <c r="M14" i="11"/>
  <c r="M16" i="11"/>
  <c r="L21" i="11"/>
  <c r="L20" i="11"/>
  <c r="L15" i="11"/>
  <c r="L19" i="11"/>
  <c r="L18" i="11"/>
  <c r="L17" i="11"/>
  <c r="L14" i="11"/>
  <c r="L16" i="11"/>
  <c r="K17" i="11"/>
  <c r="K16" i="11"/>
  <c r="K15" i="11"/>
  <c r="K19" i="11"/>
  <c r="K14" i="11"/>
  <c r="K20" i="11"/>
  <c r="K21" i="11"/>
  <c r="K18" i="11"/>
  <c r="J19" i="11"/>
  <c r="J18" i="11"/>
  <c r="J17" i="11"/>
  <c r="J16" i="11"/>
  <c r="J15" i="11"/>
  <c r="J14" i="11"/>
  <c r="J21" i="11"/>
  <c r="I16" i="11"/>
  <c r="I15" i="11"/>
  <c r="I14" i="11"/>
  <c r="I21" i="11"/>
  <c r="I20" i="11"/>
  <c r="I19" i="11"/>
  <c r="I18" i="11"/>
  <c r="I17" i="11"/>
</calcChain>
</file>

<file path=xl/sharedStrings.xml><?xml version="1.0" encoding="utf-8"?>
<sst xmlns="http://schemas.openxmlformats.org/spreadsheetml/2006/main" count="105" uniqueCount="33">
  <si>
    <t>TATA Power (Haldia) Operational MIS (FY 2024-25)</t>
  </si>
  <si>
    <t>Days</t>
  </si>
  <si>
    <t>Hours</t>
  </si>
  <si>
    <t>Parameters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</si>
  <si>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</si>
  <si>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</si>
  <si>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</si>
  <si>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</si>
  <si>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</si>
  <si>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</si>
  <si>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</si>
  <si>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</si>
  <si>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</si>
  <si>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Jan</t>
  </si>
  <si>
    <t>Feb</t>
  </si>
  <si>
    <t>Mar</t>
  </si>
  <si>
    <t>Gross Generation (Mus)</t>
  </si>
  <si>
    <t>Unit-1</t>
  </si>
  <si>
    <t>AOP</t>
  </si>
  <si>
    <t>ACT</t>
  </si>
  <si>
    <t>Unit-2</t>
  </si>
  <si>
    <t>Unit-3</t>
  </si>
  <si>
    <t>Station</t>
  </si>
  <si>
    <t>Plant Load Factor (%)</t>
  </si>
  <si>
    <t>Generation Availability (%)</t>
  </si>
  <si>
    <t>Aux Power Consumption (Mus)</t>
  </si>
  <si>
    <t>Aux Power Consumption (%)</t>
  </si>
  <si>
    <r>
      <t>Water Consumption (m</t>
    </r>
    <r>
      <rPr>
        <sz val="11"/>
        <rFont val="Calibri"/>
        <family val="2"/>
      </rPr>
      <t>³</t>
    </r>
    <r>
      <rPr>
        <sz val="11"/>
        <rFont val="Calibri"/>
        <family val="2"/>
        <scheme val="minor"/>
      </rPr>
      <t>)</t>
    </r>
  </si>
  <si>
    <r>
      <t>Specific Water Consumption (m</t>
    </r>
    <r>
      <rPr>
        <sz val="11"/>
        <rFont val="Calibri"/>
        <family val="2"/>
      </rPr>
      <t>³/mwh</t>
    </r>
    <r>
      <rPr>
        <sz val="11"/>
        <rFont val="Calibri"/>
        <family val="2"/>
        <scheme val="minor"/>
      </rPr>
      <t>)</t>
    </r>
  </si>
  <si>
    <t>Main Steam Flow (Ton)</t>
  </si>
  <si>
    <r>
      <t>Specific Steam Consumption (Ton</t>
    </r>
    <r>
      <rPr>
        <sz val="11"/>
        <rFont val="Calibri"/>
        <family val="2"/>
      </rPr>
      <t>/mwh</t>
    </r>
    <r>
      <rPr>
        <sz val="11"/>
        <rFont val="Calibri"/>
        <family val="2"/>
        <scheme val="minor"/>
      </rPr>
      <t>)</t>
    </r>
  </si>
  <si>
    <t>Forced Outage (%)</t>
  </si>
  <si>
    <t>Planned Outage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</si>
</sst>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0"/>
    <numFmt numFmtId="165" formatCode="0.0"/>
    <numFmt numFmtId="166" formatCode="0.000"/>
    <numFmt numFmtId="167" formatCode="0.00_);[Red]\(0.00\)"/>
  </numFmts>
  <fonts count="29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indexed="9"/>
      <name val="Cambria"/>
      <family val="1"/>
      <scheme val="major"/>
    </font>
    <font>
      <i/>
      <sz val="10"/>
      <color rgb="FFFF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auto="1"/>
      </bottom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5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164" fontId="19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 applyBorder="0"/>
    <xf numFmtId="0" fontId="1" fillId="0" borderId="0" applyBorder="0"/>
    <xf numFmtId="0" fontId="1" fillId="23" borderId="7" applyNumberFormat="0" applyFont="0" applyAlignment="0" applyProtection="0"/>
    <xf numFmtId="0" fontId="15" fillId="20" borderId="8" applyNumberFormat="0" applyAlignment="0" applyProtection="0"/>
    <xf numFmtId="9" fontId="19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  <xf numFmtId="43" fontId="19" fillId="0" borderId="0" applyFont="0" applyFill="0" applyBorder="0" applyAlignment="0" applyProtection="0"/>
    <xf numFmtId="0" fontId="1" fillId="0" borderId="0"/>
    <xf numFmtId="0" fontId="5" fillId="20" borderId="16" applyNumberFormat="0" applyAlignment="0" applyProtection="0"/>
    <xf numFmtId="164" fontId="1" fillId="0" borderId="0" applyFont="0" applyFill="0" applyBorder="0" applyAlignment="0" applyProtection="0"/>
    <xf numFmtId="0" fontId="12" fillId="7" borderId="16" applyNumberFormat="0" applyAlignment="0" applyProtection="0"/>
    <xf numFmtId="0" fontId="1" fillId="23" borderId="17" applyNumberFormat="0" applyFont="0" applyAlignment="0" applyProtection="0"/>
    <xf numFmtId="0" fontId="15" fillId="20" borderId="18" applyNumberFormat="0" applyAlignment="0" applyProtection="0"/>
    <xf numFmtId="9" fontId="1" fillId="0" borderId="0" applyFont="0" applyFill="0" applyBorder="0" applyAlignment="0" applyProtection="0"/>
    <xf numFmtId="0" fontId="17" fillId="0" borderId="19" applyNumberFormat="0" applyFill="0" applyAlignment="0" applyProtection="0"/>
    <xf numFmtId="43" fontId="1" fillId="0" borderId="0" applyFont="0" applyFill="0" applyBorder="0" applyAlignment="0" applyProtection="0"/>
  </cellStyleXfs>
  <cellXfs count="82">
    <xf numFmtId="0" fontId="0" fillId="0" borderId="0" xfId="0"/>
    <xf numFmtId="0" fontId="20" fillId="24" borderId="0" xfId="0" applyFont="1" applyFill="1" applyAlignment="1">
      <alignment horizontal="center" vertical="center"/>
    </xf>
    <xf numFmtId="0" fontId="22" fillId="24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20" fillId="24" borderId="0" xfId="0" applyNumberFormat="1" applyFont="1" applyFill="1" applyAlignment="1">
      <alignment horizontal="center" vertical="center"/>
    </xf>
    <xf numFmtId="165" fontId="20" fillId="0" borderId="0" xfId="0" applyNumberFormat="1" applyFont="1" applyAlignment="1">
      <alignment horizontal="center" vertical="center"/>
    </xf>
    <xf numFmtId="165" fontId="24" fillId="24" borderId="0" xfId="0" applyNumberFormat="1" applyFont="1" applyFill="1" applyAlignment="1">
      <alignment horizontal="center" vertical="center"/>
    </xf>
    <xf numFmtId="2" fontId="20" fillId="24" borderId="0" xfId="0" applyNumberFormat="1" applyFont="1" applyFill="1" applyAlignment="1">
      <alignment horizontal="center" vertical="center"/>
    </xf>
    <xf numFmtId="167" fontId="20" fillId="24" borderId="0" xfId="0" applyNumberFormat="1" applyFont="1" applyFill="1" applyAlignment="1">
      <alignment horizontal="center" vertical="center"/>
    </xf>
    <xf numFmtId="2" fontId="22" fillId="24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165" fontId="22" fillId="0" borderId="10" xfId="0" applyNumberFormat="1" applyFont="1" applyBorder="1" applyAlignment="1">
      <alignment horizontal="center" vertical="center"/>
    </xf>
    <xf numFmtId="165" fontId="20" fillId="25" borderId="10" xfId="0" applyNumberFormat="1" applyFont="1" applyFill="1" applyBorder="1" applyAlignment="1">
      <alignment horizontal="center" vertical="center"/>
    </xf>
    <xf numFmtId="165" fontId="20" fillId="0" borderId="10" xfId="0" applyNumberFormat="1" applyFont="1" applyBorder="1" applyAlignment="1">
      <alignment horizontal="center" vertical="center"/>
    </xf>
    <xf numFmtId="165" fontId="20" fillId="24" borderId="10" xfId="0" applyNumberFormat="1" applyFont="1" applyFill="1" applyBorder="1" applyAlignment="1">
      <alignment horizontal="center" vertical="center"/>
    </xf>
    <xf numFmtId="1" fontId="20" fillId="24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65" fontId="20" fillId="25" borderId="11" xfId="0" applyNumberFormat="1" applyFont="1" applyFill="1" applyBorder="1" applyAlignment="1">
      <alignment horizontal="center" vertical="center"/>
    </xf>
    <xf numFmtId="165" fontId="20" fillId="25" borderId="14" xfId="0" applyNumberFormat="1" applyFont="1" applyFill="1" applyBorder="1" applyAlignment="1">
      <alignment horizontal="center" vertical="center"/>
    </xf>
    <xf numFmtId="165" fontId="20" fillId="24" borderId="14" xfId="0" applyNumberFormat="1" applyFont="1" applyFill="1" applyBorder="1" applyAlignment="1">
      <alignment horizontal="center" vertical="center"/>
    </xf>
    <xf numFmtId="1" fontId="20" fillId="24" borderId="14" xfId="0" applyNumberFormat="1" applyFont="1" applyFill="1" applyBorder="1" applyAlignment="1">
      <alignment horizontal="center" vertical="center"/>
    </xf>
    <xf numFmtId="165" fontId="20" fillId="0" borderId="14" xfId="0" applyNumberFormat="1" applyFont="1" applyBorder="1" applyAlignment="1">
      <alignment horizontal="center" vertical="center"/>
    </xf>
    <xf numFmtId="165" fontId="20" fillId="0" borderId="11" xfId="0" applyNumberFormat="1" applyFont="1" applyBorder="1" applyAlignment="1">
      <alignment horizontal="center" vertical="center"/>
    </xf>
    <xf numFmtId="2" fontId="20" fillId="0" borderId="11" xfId="0" applyNumberFormat="1" applyFont="1" applyBorder="1" applyAlignment="1">
      <alignment horizontal="center" vertical="center"/>
    </xf>
    <xf numFmtId="2" fontId="20" fillId="24" borderId="11" xfId="0" applyNumberFormat="1" applyFont="1" applyFill="1" applyBorder="1" applyAlignment="1">
      <alignment horizontal="center" vertical="center"/>
    </xf>
    <xf numFmtId="2" fontId="20" fillId="0" borderId="14" xfId="0" applyNumberFormat="1" applyFont="1" applyBorder="1" applyAlignment="1">
      <alignment horizontal="center" vertical="center"/>
    </xf>
    <xf numFmtId="2" fontId="20" fillId="24" borderId="14" xfId="0" applyNumberFormat="1" applyFont="1" applyFill="1" applyBorder="1" applyAlignment="1">
      <alignment horizontal="center" vertical="center"/>
    </xf>
    <xf numFmtId="0" fontId="26" fillId="24" borderId="0" xfId="0" applyFont="1" applyFill="1" applyAlignment="1">
      <alignment horizontal="left" vertical="center"/>
    </xf>
    <xf numFmtId="165" fontId="22" fillId="24" borderId="0" xfId="0" applyNumberFormat="1" applyFont="1" applyFill="1" applyAlignment="1">
      <alignment horizontal="center" vertical="center"/>
    </xf>
    <xf numFmtId="0" fontId="21" fillId="24" borderId="0" xfId="0" applyFont="1" applyFill="1" applyAlignment="1">
      <alignment horizontal="left" vertical="center"/>
    </xf>
    <xf numFmtId="0" fontId="22" fillId="24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1" fontId="22" fillId="24" borderId="0" xfId="0" applyNumberFormat="1" applyFont="1" applyFill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2" fontId="20" fillId="24" borderId="10" xfId="0" applyNumberFormat="1" applyFont="1" applyFill="1" applyBorder="1" applyAlignment="1">
      <alignment horizontal="center" vertical="center"/>
    </xf>
    <xf numFmtId="166" fontId="22" fillId="24" borderId="0" xfId="0" applyNumberFormat="1" applyFont="1" applyFill="1" applyAlignment="1">
      <alignment horizontal="center" vertical="center"/>
    </xf>
    <xf numFmtId="164" fontId="22" fillId="24" borderId="0" xfId="0" applyNumberFormat="1" applyFont="1" applyFill="1" applyAlignment="1">
      <alignment horizontal="center" vertical="center"/>
    </xf>
    <xf numFmtId="166" fontId="23" fillId="24" borderId="0" xfId="0" applyNumberFormat="1" applyFont="1" applyFill="1" applyAlignment="1">
      <alignment horizontal="center" vertical="center"/>
    </xf>
    <xf numFmtId="2" fontId="22" fillId="0" borderId="0" xfId="0" applyNumberFormat="1" applyFont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1" fontId="20" fillId="0" borderId="21" xfId="0" applyNumberFormat="1" applyFont="1" applyBorder="1" applyAlignment="1">
      <alignment horizontal="center" vertical="center"/>
    </xf>
    <xf numFmtId="165" fontId="20" fillId="25" borderId="20" xfId="0" applyNumberFormat="1" applyFont="1" applyFill="1" applyBorder="1" applyAlignment="1">
      <alignment horizontal="center" vertical="center"/>
    </xf>
    <xf numFmtId="165" fontId="20" fillId="25" borderId="22" xfId="0" applyNumberFormat="1" applyFont="1" applyFill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165" fontId="20" fillId="24" borderId="21" xfId="0" applyNumberFormat="1" applyFont="1" applyFill="1" applyBorder="1" applyAlignment="1">
      <alignment horizontal="center" vertical="center"/>
    </xf>
    <xf numFmtId="1" fontId="20" fillId="0" borderId="14" xfId="0" applyNumberFormat="1" applyFont="1" applyBorder="1" applyAlignment="1">
      <alignment horizontal="center" vertical="center"/>
    </xf>
    <xf numFmtId="1" fontId="20" fillId="24" borderId="21" xfId="0" applyNumberFormat="1" applyFont="1" applyFill="1" applyBorder="1" applyAlignment="1">
      <alignment horizontal="center" vertical="center"/>
    </xf>
    <xf numFmtId="165" fontId="20" fillId="0" borderId="21" xfId="0" applyNumberFormat="1" applyFont="1" applyBorder="1" applyAlignment="1">
      <alignment horizontal="center" vertical="center"/>
    </xf>
    <xf numFmtId="2" fontId="20" fillId="0" borderId="21" xfId="0" applyNumberFormat="1" applyFont="1" applyBorder="1" applyAlignment="1">
      <alignment horizontal="center" vertical="center"/>
    </xf>
    <xf numFmtId="166" fontId="20" fillId="24" borderId="10" xfId="0" applyNumberFormat="1" applyFont="1" applyFill="1" applyBorder="1" applyAlignment="1">
      <alignment horizontal="center" vertical="center"/>
    </xf>
    <xf numFmtId="166" fontId="20" fillId="24" borderId="11" xfId="0" applyNumberFormat="1" applyFont="1" applyFill="1" applyBorder="1" applyAlignment="1">
      <alignment horizontal="center" vertical="center"/>
    </xf>
    <xf numFmtId="165" fontId="20" fillId="25" borderId="24" xfId="0" applyNumberFormat="1" applyFont="1" applyFill="1" applyBorder="1" applyAlignment="1">
      <alignment horizontal="center" vertical="center"/>
    </xf>
    <xf numFmtId="165" fontId="20" fillId="0" borderId="24" xfId="0" applyNumberFormat="1" applyFont="1" applyBorder="1" applyAlignment="1">
      <alignment horizontal="center" vertical="center"/>
    </xf>
    <xf numFmtId="165" fontId="20" fillId="24" borderId="24" xfId="0" applyNumberFormat="1" applyFont="1" applyFill="1" applyBorder="1" applyAlignment="1">
      <alignment horizontal="center" vertical="center"/>
    </xf>
    <xf numFmtId="2" fontId="20" fillId="24" borderId="24" xfId="0" applyNumberFormat="1" applyFont="1" applyFill="1" applyBorder="1" applyAlignment="1">
      <alignment horizontal="center" vertical="center"/>
    </xf>
    <xf numFmtId="1" fontId="20" fillId="24" borderId="24" xfId="0" applyNumberFormat="1" applyFont="1" applyFill="1" applyBorder="1" applyAlignment="1">
      <alignment horizontal="center" vertical="center"/>
    </xf>
    <xf numFmtId="166" fontId="20" fillId="24" borderId="24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166" fontId="20" fillId="0" borderId="10" xfId="0" applyNumberFormat="1" applyFont="1" applyBorder="1" applyAlignment="1">
      <alignment horizontal="center" vertical="center"/>
    </xf>
    <xf numFmtId="166" fontId="20" fillId="0" borderId="11" xfId="0" applyNumberFormat="1" applyFont="1" applyBorder="1" applyAlignment="1">
      <alignment horizontal="center" vertical="center"/>
    </xf>
    <xf numFmtId="2" fontId="20" fillId="24" borderId="21" xfId="0" applyNumberFormat="1" applyFont="1" applyFill="1" applyBorder="1" applyAlignment="1">
      <alignment horizontal="center" vertical="center"/>
    </xf>
    <xf numFmtId="1" fontId="20" fillId="24" borderId="14" xfId="0" applyNumberFormat="1" applyFont="1" applyFill="1" applyBorder="1" applyAlignment="1">
      <alignment horizontal="center" vertical="center" wrapText="1"/>
    </xf>
    <xf numFmtId="166" fontId="20" fillId="24" borderId="14" xfId="0" applyNumberFormat="1" applyFont="1" applyFill="1" applyBorder="1" applyAlignment="1">
      <alignment horizontal="center" vertical="center"/>
    </xf>
    <xf numFmtId="0" fontId="25" fillId="26" borderId="23" xfId="0" applyFont="1" applyFill="1" applyBorder="1" applyAlignment="1">
      <alignment horizontal="left" vertical="center"/>
    </xf>
    <xf numFmtId="0" fontId="25" fillId="26" borderId="24" xfId="0" applyFont="1" applyFill="1" applyBorder="1" applyAlignment="1">
      <alignment horizontal="left" vertical="center"/>
    </xf>
    <xf numFmtId="165" fontId="20" fillId="0" borderId="23" xfId="0" applyNumberFormat="1" applyFont="1" applyBorder="1" applyAlignment="1">
      <alignment horizontal="left" vertical="center" wrapText="1"/>
    </xf>
    <xf numFmtId="165" fontId="20" fillId="0" borderId="12" xfId="0" applyNumberFormat="1" applyFont="1" applyBorder="1" applyAlignment="1">
      <alignment horizontal="left" vertical="center" wrapText="1"/>
    </xf>
    <xf numFmtId="165" fontId="20" fillId="0" borderId="13" xfId="0" applyNumberFormat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165" fontId="20" fillId="25" borderId="24" xfId="0" applyNumberFormat="1" applyFont="1" applyFill="1" applyBorder="1" applyAlignment="1">
      <alignment horizontal="center" vertical="center"/>
    </xf>
    <xf numFmtId="165" fontId="20" fillId="25" borderId="10" xfId="0" applyNumberFormat="1" applyFont="1" applyFill="1" applyBorder="1" applyAlignment="1">
      <alignment horizontal="center" vertical="center"/>
    </xf>
    <xf numFmtId="165" fontId="20" fillId="25" borderId="14" xfId="0" applyNumberFormat="1" applyFont="1" applyFill="1" applyBorder="1" applyAlignment="1">
      <alignment horizontal="center" vertical="center"/>
    </xf>
    <xf numFmtId="165" fontId="23" fillId="0" borderId="12" xfId="0" applyNumberFormat="1" applyFont="1" applyBorder="1" applyAlignment="1">
      <alignment horizontal="right" vertical="center"/>
    </xf>
    <xf numFmtId="165" fontId="23" fillId="0" borderId="10" xfId="0" applyNumberFormat="1" applyFont="1" applyBorder="1" applyAlignment="1">
      <alignment horizontal="right" vertical="center"/>
    </xf>
    <xf numFmtId="165" fontId="21" fillId="25" borderId="13" xfId="0" applyNumberFormat="1" applyFont="1" applyFill="1" applyBorder="1" applyAlignment="1">
      <alignment horizontal="center" vertical="center"/>
    </xf>
    <xf numFmtId="165" fontId="21" fillId="25" borderId="14" xfId="0" applyNumberFormat="1" applyFont="1" applyFill="1" applyBorder="1" applyAlignment="1">
      <alignment horizontal="center" vertical="center"/>
    </xf>
    <xf numFmtId="0" fontId="20" fillId="0" borderId="13" xfId="0" applyFont="1" applyBorder="1" applyAlignment="1">
      <alignment horizontal="left" vertical="center" wrapText="1"/>
    </xf>
    <xf numFmtId="0" fontId="20" fillId="25" borderId="24" xfId="0" applyFont="1" applyFill="1" applyBorder="1" applyAlignment="1">
      <alignment horizontal="center" vertical="center"/>
    </xf>
    <xf numFmtId="0" fontId="20" fillId="25" borderId="14" xfId="0" applyFont="1" applyFill="1" applyBorder="1" applyAlignment="1">
      <alignment horizontal="center" vertical="center"/>
    </xf>
    <xf numFmtId="165" fontId="20" fillId="25" borderId="11" xfId="0" applyNumberFormat="1" applyFont="1" applyFill="1" applyBorder="1" applyAlignment="1">
      <alignment horizontal="center" vertical="center"/>
    </xf>
  </cellXfs>
  <cellStyles count="5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alculation 2" xfId="48" xr:uid="{00000000-0005-0000-0000-00001A000000}"/>
    <cellStyle name="Check Cell" xfId="27" builtinId="23" customBuiltin="1"/>
    <cellStyle name="Comma 2" xfId="28" xr:uid="{00000000-0005-0000-0000-00001C000000}"/>
    <cellStyle name="Comma 2 2" xfId="49" xr:uid="{00000000-0005-0000-0000-00001D000000}"/>
    <cellStyle name="Comma 3" xfId="46" xr:uid="{00000000-0005-0000-0000-00001E000000}"/>
    <cellStyle name="Comma 3 2" xfId="55" xr:uid="{00000000-0005-0000-0000-00001F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Input 2" xfId="50" xr:uid="{00000000-0005-0000-0000-000027000000}"/>
    <cellStyle name="Linked Cell" xfId="36" builtinId="24" customBuiltin="1"/>
    <cellStyle name="Neutral" xfId="37" builtinId="28" customBuiltin="1"/>
    <cellStyle name="Normal" xfId="0" builtinId="0"/>
    <cellStyle name="Normal 4" xfId="47" xr:uid="{00000000-0005-0000-0000-00002B000000}"/>
    <cellStyle name="Normaᳬ_SYSFRQᷔ1" xfId="38" xr:uid="{00000000-0005-0000-0000-00002C000000}"/>
    <cellStyle name="Norửal_SYSFRQT2" xfId="39" xr:uid="{00000000-0005-0000-0000-00002D000000}"/>
    <cellStyle name="Note" xfId="40" builtinId="10" customBuiltin="1"/>
    <cellStyle name="Note 2" xfId="51" xr:uid="{00000000-0005-0000-0000-00002F000000}"/>
    <cellStyle name="Output" xfId="41" builtinId="21" customBuiltin="1"/>
    <cellStyle name="Output 2" xfId="52" xr:uid="{00000000-0005-0000-0000-000031000000}"/>
    <cellStyle name="Percent 2" xfId="42" xr:uid="{00000000-0005-0000-0000-000032000000}"/>
    <cellStyle name="Percent 2 2" xfId="53" xr:uid="{00000000-0005-0000-0000-000033000000}"/>
    <cellStyle name="Title" xfId="43" builtinId="15" customBuiltin="1"/>
    <cellStyle name="Total" xfId="44" builtinId="25" customBuiltin="1"/>
    <cellStyle name="Total 2" xfId="54" xr:uid="{00000000-0005-0000-0000-000036000000}"/>
    <cellStyle name="Warning Text" xfId="45" builtinId="11" customBuiltin="1"/>
  </cellStyles>
  <dxfs count="0"/>
  <tableStyles count="0" defaultTableStyle="TableStyleMedium9" defaultPivotStyle="PivotStyleLight16"/>
  <colors>
    <mruColors>
      <color rgb="FF2016E0"/>
      <color rgb="FF221AB8"/>
      <color rgb="FFCCFFFF"/>
      <color rgb="FFFF99FF"/>
      <color rgb="FFC6E6A2"/>
      <color rgb="FFFB5FAD"/>
      <color rgb="FFFF00FF"/>
      <color rgb="FFFF66FF"/>
      <color rgb="FFFF66CC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4</xdr:col>
          <xdr:colOff>0</xdr:colOff>
          <xdr:row>0</xdr:row>
          <xdr:rowOff>0</xdr:rowOff>
        </xdr:to>
        <xdr:sp macro="" textlink="">
          <xdr:nvSpPr>
            <xdr:cNvPr id="2062" name="FPMExcelClientSheetOptionstb1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0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atapower-my.sharepoint.com/ABP%20FY%2010-12/Quarterwise/Quarterwise%20details%20ABP%20FY10-12(09-04-09)without%20%20allo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atapower-my.sharepoint.com/My%20Documents/pcbackup/Puru/Sales%20&amp;%20Revenue%20Reports/FY%202005-06/TarSumm%20FY05%20-%20Mar%20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atapower-my.sharepoint.com/Documents%20and%20Settings/Kapse/Local%20Settings/Temp/Official/MIS%20FY05-06/09-Dec%2005/Quarterwise%20Details%20-%20Q3(tax)%20FY%2006_190106(fin%20ch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1"/>
      <sheetName val="Company-Base"/>
      <sheetName val="License Area"/>
      <sheetName val="Financial data FY 10"/>
      <sheetName val="Financial data FY 11"/>
      <sheetName val="Financial data FY 12"/>
      <sheetName val="Operational Data"/>
      <sheetName val="Notional in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SUmm Feb 05 "/>
      <sheetName val="TarSUmm Feb 05  Cat"/>
      <sheetName val="Sheet2"/>
      <sheetName val="per unit"/>
      <sheetName val="TBEM"/>
      <sheetName val="Sales FY05"/>
      <sheetName val="Revenue FY05"/>
      <sheetName val="Revenue FY05 (No TOSE)"/>
      <sheetName val="En Ch FY05"/>
      <sheetName val="MD Ch FY05"/>
      <sheetName val="FAC Ch FY05"/>
      <sheetName val="Sheet1"/>
      <sheetName val="Sales (FY04)"/>
      <sheetName val="Revenue (FY04)"/>
      <sheetName val="En Ch FY04"/>
      <sheetName val="MD Ch FY04"/>
      <sheetName val="FAC Ch FY04"/>
      <sheetName val="Revenue(No TOSE &amp; StBy)"/>
      <sheetName val="Tariff (No TOSE &amp; StBy)"/>
      <sheetName val="MonthWise TS FY04"/>
      <sheetName val="Revenue FY04 (No TOSE)"/>
      <sheetName val="Tariff FY0 (No TOSE &amp; StBy)"/>
      <sheetName val="REL FAC Os"/>
      <sheetName val="TarSUmm_Feb_05_"/>
      <sheetName val="TarSUmm_Feb_05__Cat"/>
      <sheetName val="per_unit"/>
      <sheetName val="Sales_FY05"/>
      <sheetName val="Revenue_FY05"/>
      <sheetName val="Revenue_FY05_(No_TOSE)"/>
      <sheetName val="En_Ch_FY05"/>
      <sheetName val="MD_Ch_FY05"/>
      <sheetName val="FAC_Ch_FY05"/>
      <sheetName val="Sales_(FY04)"/>
      <sheetName val="Revenue_(FY04)"/>
      <sheetName val="En_Ch_FY04"/>
      <sheetName val="MD_Ch_FY04"/>
      <sheetName val="FAC_Ch_FY04"/>
      <sheetName val="Revenue(No_TOSE_&amp;_StBy)"/>
      <sheetName val="Tariff_(No_TOSE_&amp;_StBy)"/>
      <sheetName val="MonthWise_TS_FY04"/>
      <sheetName val="Revenue_FY04_(No_TOSE)"/>
      <sheetName val="Tariff_FY0_(No_TOSE_&amp;_StBy)"/>
      <sheetName val="REL_FAC_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y"/>
      <sheetName val="License Area"/>
      <sheetName val="LA-ARR-PU"/>
      <sheetName val="LA-PU"/>
      <sheetName val="LA-ARR"/>
      <sheetName val="LA-ARR-PU "/>
      <sheetName val="Co. Graphs"/>
      <sheetName val="OB Grap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customProperty" Target="../customProperty2.bin"/><Relationship Id="rId7" Type="http://schemas.openxmlformats.org/officeDocument/2006/relationships/control" Target="../activeX/activeX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B258"/>
  <sheetViews>
    <sheetView showGridLines="0" tabSelected="1" zoomScaleNormal="100" zoomScaleSheetLayoutView="70" workbookViewId="0">
      <pane xSplit="4" ySplit="5" topLeftCell="I6" activePane="bottomRight" state="frozen"/>
      <selection pane="bottomRight" activeCell="J41" sqref="B2:P57"/>
      <selection pane="bottomLeft" activeCell="A6" sqref="A6"/>
      <selection pane="topRight" activeCell="E1" sqref="E1"/>
    </sheetView>
  </sheetViews>
  <sheetFormatPr defaultRowHeight="15"/>
  <cols>
    <col min="1" max="1" width="1.42578125" style="1" customWidth="1"/>
    <col min="2" max="2" width="29.42578125" style="31" bestFit="1" customWidth="1"/>
    <col min="3" max="3" width="7.28515625" style="3" customWidth="1"/>
    <col min="4" max="4" width="49.85546875" style="3" customWidth="1"/>
    <col min="5" max="5" width="7.7109375" style="10" customWidth="1"/>
    <col min="6" max="7" width="7.7109375" style="3" bestFit="1" customWidth="1"/>
    <col min="8" max="8" width="7.7109375" style="3" customWidth="1"/>
    <col min="9" max="9" width="34.7109375" style="3" customWidth="1"/>
    <col min="10" max="10" width="7.7109375" style="3" bestFit="1" customWidth="1"/>
    <col min="11" max="16" width="7.85546875" style="3" bestFit="1" customWidth="1"/>
    <col min="17" max="17" width="11.5703125" style="2" customWidth="1"/>
    <col min="18" max="80" width="9.140625" style="1"/>
    <col min="81" max="16384" width="9.140625" style="3"/>
  </cols>
  <sheetData>
    <row r="1" spans="1:80" s="1" customFormat="1" ht="6" customHeight="1">
      <c r="B1" s="29"/>
      <c r="E1" s="2"/>
      <c r="Q1" s="2"/>
    </row>
    <row r="2" spans="1:80" ht="20.25">
      <c r="B2" s="63" t="s">
        <v>0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</row>
    <row r="3" spans="1:80" ht="12.75" customHeight="1">
      <c r="B3" s="74" t="s">
        <v>1</v>
      </c>
      <c r="C3" s="75"/>
      <c r="D3" s="75"/>
      <c r="E3" s="11">
        <v>30</v>
      </c>
      <c r="F3" s="11">
        <v>31</v>
      </c>
      <c r="G3" s="11">
        <v>30</v>
      </c>
      <c r="H3" s="11">
        <v>31</v>
      </c>
      <c r="I3" s="11">
        <v>31</v>
      </c>
      <c r="J3" s="11">
        <v>30</v>
      </c>
      <c r="K3" s="11">
        <v>31</v>
      </c>
      <c r="L3" s="11">
        <v>30</v>
      </c>
      <c r="M3" s="11">
        <v>31</v>
      </c>
      <c r="N3" s="11">
        <v>31</v>
      </c>
      <c r="O3" s="11">
        <v>28</v>
      </c>
      <c r="P3" s="11">
        <v>31</v>
      </c>
    </row>
    <row r="4" spans="1:80" ht="23.25" customHeight="1">
      <c r="B4" s="74" t="s">
        <v>2</v>
      </c>
      <c r="C4" s="75"/>
      <c r="D4" s="75"/>
      <c r="E4" s="11">
        <f>E3*24</f>
        <v>720</v>
      </c>
      <c r="F4" s="11">
        <f t="shared" ref="F4:P4" si="0">F3*24</f>
        <v>744</v>
      </c>
      <c r="G4" s="11">
        <f t="shared" si="0"/>
        <v>720</v>
      </c>
      <c r="H4" s="11">
        <f>H3*24</f>
        <v>744</v>
      </c>
      <c r="I4" s="11">
        <f t="shared" si="0"/>
        <v>744</v>
      </c>
      <c r="J4" s="11">
        <f t="shared" si="0"/>
        <v>720</v>
      </c>
      <c r="K4" s="11">
        <f t="shared" si="0"/>
        <v>744</v>
      </c>
      <c r="L4" s="11">
        <f t="shared" si="0"/>
        <v>720</v>
      </c>
      <c r="M4" s="11">
        <f t="shared" si="0"/>
        <v>744</v>
      </c>
      <c r="N4" s="11">
        <f t="shared" si="0"/>
        <v>744</v>
      </c>
      <c r="O4" s="11">
        <f t="shared" si="0"/>
        <v>672</v>
      </c>
      <c r="P4" s="11">
        <f t="shared" si="0"/>
        <v>744</v>
      </c>
    </row>
    <row r="5" spans="1:80" s="5" customFormat="1" ht="18" customHeight="1">
      <c r="A5" s="4"/>
      <c r="B5" s="76" t="s">
        <v>3</v>
      </c>
      <c r="C5" s="77"/>
      <c r="D5" s="77"/>
      <c r="E5" s="18" t="s">
        <v>4</v>
      </c>
      <c r="F5" s="18" t="s">
        <v>5</v>
      </c>
      <c r="G5" s="18" t="s">
        <v>6</v>
      </c>
      <c r="H5" s="18" t="s">
        <v>7</v>
      </c>
      <c r="I5" s="18" t="s">
        <v>8</v>
      </c>
      <c r="J5" s="18" t="s">
        <v>9</v>
      </c>
      <c r="K5" s="18" t="s">
        <v>10</v>
      </c>
      <c r="L5" s="18" t="s">
        <v>11</v>
      </c>
      <c r="M5" s="18" t="s">
        <v>12</v>
      </c>
      <c r="N5" s="18" t="s">
        <v>13</v>
      </c>
      <c r="O5" s="18" t="s">
        <v>14</v>
      </c>
      <c r="P5" s="18" t="s">
        <v>15</v>
      </c>
      <c r="Q5" s="28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</row>
    <row r="6" spans="1:80" s="5" customFormat="1" ht="18" customHeight="1">
      <c r="A6" s="4"/>
      <c r="B6" s="65" t="s">
        <v>16</v>
      </c>
      <c r="C6" s="71" t="s">
        <v>17</v>
      </c>
      <c r="D6" s="51" t="s">
        <v>18</v>
      </c>
      <c r="E6" s="13">
        <v>30.155999999999999</v>
      </c>
      <c r="F6" s="52">
        <v>30.621000000000002</v>
      </c>
      <c r="G6" s="57">
        <v>29.613</v>
      </c>
      <c r="H6" s="53">
        <v>29.487000000000002</v>
      </c>
      <c r="I6" s="56">
        <v>29.652000000000001</v>
      </c>
      <c r="J6" s="54">
        <v>29.652000000000001</v>
      </c>
      <c r="K6" s="53"/>
      <c r="L6" s="53"/>
      <c r="M6" s="53"/>
      <c r="N6" s="53"/>
      <c r="O6" s="53"/>
      <c r="P6" s="53"/>
      <c r="Q6" s="35"/>
      <c r="R6" s="4"/>
      <c r="S6" s="4"/>
      <c r="T6" s="4"/>
      <c r="U6" s="6"/>
      <c r="V6" s="6"/>
      <c r="W6" s="6"/>
      <c r="X6" s="6"/>
      <c r="Y6" s="6"/>
      <c r="Z6" s="6"/>
      <c r="AA6" s="6"/>
      <c r="AB6" s="6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</row>
    <row r="7" spans="1:80" s="5" customFormat="1" ht="18" customHeight="1">
      <c r="A7" s="4"/>
      <c r="B7" s="66"/>
      <c r="C7" s="72"/>
      <c r="D7" s="12" t="s">
        <v>19</v>
      </c>
      <c r="E7" s="13">
        <v>31.715075650181703</v>
      </c>
      <c r="F7" s="34">
        <v>31.396655781847951</v>
      </c>
      <c r="G7" s="49">
        <v>30.138815479725828</v>
      </c>
      <c r="H7" s="14">
        <v>29.751000000000001</v>
      </c>
      <c r="I7" s="49">
        <v>28.091601561696226</v>
      </c>
      <c r="J7" s="34">
        <v>26.958294123510147</v>
      </c>
      <c r="K7" s="14"/>
      <c r="L7" s="13"/>
      <c r="M7" s="13"/>
      <c r="N7" s="13"/>
      <c r="O7" s="13"/>
      <c r="P7" s="14"/>
      <c r="Q7" s="35"/>
      <c r="R7" s="4"/>
      <c r="S7" s="4"/>
      <c r="T7" s="4"/>
      <c r="U7" s="6"/>
      <c r="V7" s="6"/>
      <c r="W7" s="6"/>
      <c r="X7" s="6"/>
      <c r="Y7" s="6"/>
      <c r="Z7" s="6"/>
      <c r="AA7" s="6"/>
      <c r="AB7" s="6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</row>
    <row r="8" spans="1:80" s="5" customFormat="1" ht="18" customHeight="1">
      <c r="A8" s="4"/>
      <c r="B8" s="66"/>
      <c r="C8" s="72" t="s">
        <v>20</v>
      </c>
      <c r="D8" s="12" t="s">
        <v>18</v>
      </c>
      <c r="E8" s="13">
        <v>30.155999999999999</v>
      </c>
      <c r="F8" s="14">
        <v>30.621000000000002</v>
      </c>
      <c r="G8" s="57">
        <v>29.613</v>
      </c>
      <c r="H8" s="14">
        <v>29.487000000000002</v>
      </c>
      <c r="I8" s="49">
        <v>28.14</v>
      </c>
      <c r="J8" s="34">
        <v>28.14</v>
      </c>
      <c r="K8" s="14"/>
      <c r="L8" s="13"/>
      <c r="M8" s="14"/>
      <c r="N8" s="14"/>
      <c r="O8" s="14"/>
      <c r="P8" s="14"/>
      <c r="Q8" s="35"/>
      <c r="R8" s="4"/>
      <c r="S8" s="4"/>
      <c r="T8" s="4"/>
      <c r="U8" s="6"/>
      <c r="V8" s="6"/>
      <c r="W8" s="6"/>
      <c r="X8" s="6"/>
      <c r="Y8" s="6"/>
      <c r="Z8" s="6"/>
      <c r="AA8" s="6"/>
      <c r="AB8" s="6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</row>
    <row r="9" spans="1:80" s="5" customFormat="1" ht="18" customHeight="1">
      <c r="A9" s="4"/>
      <c r="B9" s="66"/>
      <c r="C9" s="72"/>
      <c r="D9" s="12" t="s">
        <v>19</v>
      </c>
      <c r="E9" s="13">
        <v>31.116385015178295</v>
      </c>
      <c r="F9" s="34">
        <v>30.022932653941115</v>
      </c>
      <c r="G9" s="49">
        <v>30.304420098539584</v>
      </c>
      <c r="H9" s="14">
        <v>29.69</v>
      </c>
      <c r="I9" s="49">
        <v>29.337175512518844</v>
      </c>
      <c r="J9" s="34">
        <v>26.470913237230508</v>
      </c>
      <c r="K9" s="14"/>
      <c r="L9" s="13"/>
      <c r="M9" s="13"/>
      <c r="N9" s="13"/>
      <c r="O9" s="13"/>
      <c r="P9" s="14"/>
      <c r="Q9" s="35"/>
      <c r="R9" s="4"/>
      <c r="S9" s="4"/>
      <c r="T9" s="4"/>
      <c r="U9" s="6"/>
      <c r="V9" s="6"/>
      <c r="W9" s="6"/>
      <c r="X9" s="6"/>
      <c r="Y9" s="6"/>
      <c r="Z9" s="6"/>
      <c r="AA9" s="6"/>
      <c r="AB9" s="6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</row>
    <row r="10" spans="1:80" s="5" customFormat="1" ht="18" customHeight="1">
      <c r="A10" s="4"/>
      <c r="B10" s="66"/>
      <c r="C10" s="72" t="s">
        <v>21</v>
      </c>
      <c r="D10" s="12" t="s">
        <v>18</v>
      </c>
      <c r="E10" s="22">
        <v>20.103999999999999</v>
      </c>
      <c r="F10" s="14">
        <v>20.414000000000001</v>
      </c>
      <c r="G10" s="57">
        <v>19.742000000000001</v>
      </c>
      <c r="H10" s="34">
        <v>19.658000000000001</v>
      </c>
      <c r="I10" s="49">
        <v>20.776</v>
      </c>
      <c r="J10" s="34">
        <v>20.776</v>
      </c>
      <c r="K10" s="14"/>
      <c r="L10" s="13"/>
      <c r="M10" s="14"/>
      <c r="N10" s="14"/>
      <c r="O10" s="14"/>
      <c r="P10" s="14"/>
      <c r="Q10" s="35"/>
      <c r="R10" s="4"/>
      <c r="S10" s="4"/>
      <c r="T10" s="4"/>
      <c r="U10" s="6"/>
      <c r="V10" s="6"/>
      <c r="W10" s="6"/>
      <c r="X10" s="6"/>
      <c r="Y10" s="6"/>
      <c r="Z10" s="6"/>
      <c r="AA10" s="6"/>
      <c r="AB10" s="6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</row>
    <row r="11" spans="1:80" s="5" customFormat="1" ht="18" customHeight="1">
      <c r="A11" s="4"/>
      <c r="B11" s="66"/>
      <c r="C11" s="72"/>
      <c r="D11" s="12" t="s">
        <v>19</v>
      </c>
      <c r="E11" s="22">
        <v>20.783909834639999</v>
      </c>
      <c r="F11" s="24">
        <v>20.933594025560417</v>
      </c>
      <c r="G11" s="50">
        <v>20.144062984234591</v>
      </c>
      <c r="H11" s="14">
        <v>20.943999999999999</v>
      </c>
      <c r="I11" s="49">
        <v>20.402885925784926</v>
      </c>
      <c r="J11" s="34">
        <v>19.25324286582185</v>
      </c>
      <c r="K11" s="14"/>
      <c r="L11" s="13"/>
      <c r="M11" s="13"/>
      <c r="N11" s="13"/>
      <c r="O11" s="13"/>
      <c r="P11" s="14"/>
      <c r="Q11" s="35"/>
      <c r="R11" s="4"/>
      <c r="S11" s="4"/>
      <c r="T11" s="4"/>
      <c r="U11" s="6"/>
      <c r="V11" s="6"/>
      <c r="W11" s="6"/>
      <c r="X11" s="6"/>
      <c r="Y11" s="6"/>
      <c r="Z11" s="6"/>
      <c r="AA11" s="6"/>
      <c r="AB11" s="6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</row>
    <row r="12" spans="1:80" s="5" customFormat="1" ht="18" customHeight="1">
      <c r="A12" s="4"/>
      <c r="B12" s="66"/>
      <c r="C12" s="72" t="s">
        <v>22</v>
      </c>
      <c r="D12" s="41" t="s">
        <v>18</v>
      </c>
      <c r="E12" s="43">
        <f>SUM(E6+E8+E10)</f>
        <v>80.415999999999997</v>
      </c>
      <c r="F12" s="34">
        <f t="shared" ref="F12:G12" si="1">SUM(F6+F8+F10)</f>
        <v>81.656000000000006</v>
      </c>
      <c r="G12" s="34">
        <f t="shared" si="1"/>
        <v>78.968000000000004</v>
      </c>
      <c r="H12" s="43">
        <f>SUM(H6+H8+H10)</f>
        <v>78.632000000000005</v>
      </c>
      <c r="I12" s="49">
        <f t="shared" ref="I12:J12" si="2">SUM(I6+I8+I10)</f>
        <v>78.567999999999998</v>
      </c>
      <c r="J12" s="34">
        <f t="shared" si="2"/>
        <v>78.567999999999998</v>
      </c>
      <c r="K12" s="13">
        <f>SUM(K6+K8+K10)</f>
        <v>0</v>
      </c>
      <c r="L12" s="15">
        <f t="shared" ref="L12:M12" si="3">SUM(L6+L8+L10)</f>
        <v>0</v>
      </c>
      <c r="M12" s="14">
        <f t="shared" si="3"/>
        <v>0</v>
      </c>
      <c r="N12" s="16">
        <f>SUM(N6+N8+N10)</f>
        <v>0</v>
      </c>
      <c r="O12" s="14">
        <f t="shared" ref="O12:P12" si="4">SUM(O6+O8+O10)</f>
        <v>0</v>
      </c>
      <c r="P12" s="15">
        <f t="shared" si="4"/>
        <v>0</v>
      </c>
      <c r="Q12" s="35"/>
      <c r="R12" s="4"/>
      <c r="S12" s="4"/>
      <c r="T12" s="4"/>
      <c r="U12" s="6"/>
      <c r="V12" s="6"/>
      <c r="W12" s="6"/>
      <c r="X12" s="6"/>
      <c r="Y12" s="6"/>
      <c r="Z12" s="6"/>
      <c r="AA12" s="6"/>
      <c r="AB12" s="6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</row>
    <row r="13" spans="1:80" s="5" customFormat="1" ht="18" customHeight="1">
      <c r="A13" s="4"/>
      <c r="B13" s="67"/>
      <c r="C13" s="73"/>
      <c r="D13" s="42" t="s">
        <v>19</v>
      </c>
      <c r="E13" s="25">
        <f>SUM(E7+E9+E11)</f>
        <v>83.615370499999997</v>
      </c>
      <c r="F13" s="26">
        <f t="shared" ref="F13:G13" si="5">SUM(F7+F9+F11)</f>
        <v>82.35318246134949</v>
      </c>
      <c r="G13" s="26">
        <f t="shared" si="5"/>
        <v>80.58729856250001</v>
      </c>
      <c r="H13" s="25">
        <f>SUM(H7+H9+H11)</f>
        <v>80.385000000000005</v>
      </c>
      <c r="I13" s="62">
        <f t="shared" ref="I13:J13" si="6">SUM(I7+I9+I11)</f>
        <v>77.831662999999992</v>
      </c>
      <c r="J13" s="26">
        <f t="shared" si="6"/>
        <v>72.682450226562509</v>
      </c>
      <c r="K13" s="25">
        <f>SUM(K7+K9+K11)</f>
        <v>0</v>
      </c>
      <c r="L13" s="20">
        <f t="shared" ref="L13:M13" si="7">SUM(L7+L9+L11)</f>
        <v>0</v>
      </c>
      <c r="M13" s="19">
        <f t="shared" si="7"/>
        <v>0</v>
      </c>
      <c r="N13" s="21">
        <f>SUM(N7+N9+N11)</f>
        <v>0</v>
      </c>
      <c r="O13" s="26">
        <f t="shared" ref="O13:P13" si="8">SUM(O7+O9+O11)</f>
        <v>0</v>
      </c>
      <c r="P13" s="26">
        <f t="shared" si="8"/>
        <v>0</v>
      </c>
      <c r="Q13" s="28"/>
      <c r="R13" s="4"/>
      <c r="S13" s="4"/>
      <c r="T13" s="4"/>
      <c r="U13" s="6"/>
      <c r="V13" s="6"/>
      <c r="W13" s="6"/>
      <c r="X13" s="6"/>
      <c r="Y13" s="6"/>
      <c r="Z13" s="6"/>
      <c r="AA13" s="6"/>
      <c r="AB13" s="6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</row>
    <row r="14" spans="1:80" s="5" customFormat="1" ht="18" customHeight="1">
      <c r="A14" s="4"/>
      <c r="B14" s="65" t="s">
        <v>23</v>
      </c>
      <c r="C14" s="71" t="s">
        <v>17</v>
      </c>
      <c r="D14" s="51" t="s">
        <v>18</v>
      </c>
      <c r="E14" s="54">
        <f>(E6*1000)/(42*E4)%</f>
        <v>99.722222222222229</v>
      </c>
      <c r="F14" s="53">
        <f>(F6*1000)/(42*F4)%</f>
        <v>97.993471582181272</v>
      </c>
      <c r="G14" s="53">
        <f>(G6*1000)/(42*G4)%</f>
        <v>97.926587301587304</v>
      </c>
      <c r="H14" s="53">
        <f>(H6*1000)/(42*H4)%</f>
        <v>94.364439324116745</v>
      </c>
      <c r="I14" s="53">
        <f>(I6*1000)/(42*I4)%</f>
        <v>94.892473118279568</v>
      </c>
      <c r="J14" s="54">
        <f>(J6*1000)/(42*J4)%</f>
        <v>98.055555555555557</v>
      </c>
      <c r="K14" s="53">
        <f>(K6*1000)/(42*K4)%</f>
        <v>0</v>
      </c>
      <c r="L14" s="53">
        <f>(L6*1000)/(42*L4)%</f>
        <v>0</v>
      </c>
      <c r="M14" s="53">
        <f>(M6*1000)/(42*M4)%</f>
        <v>0</v>
      </c>
      <c r="N14" s="53">
        <f>(N6*1000)/(42*$N$4)%</f>
        <v>0</v>
      </c>
      <c r="O14" s="53">
        <f>(O6*1000)/(42*$O$4)%</f>
        <v>0</v>
      </c>
      <c r="P14" s="53">
        <f>(P6*1000)/(42*$P$4)%</f>
        <v>0</v>
      </c>
      <c r="Q14" s="9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</row>
    <row r="15" spans="1:80" s="5" customFormat="1" ht="18" customHeight="1">
      <c r="A15" s="4"/>
      <c r="B15" s="66"/>
      <c r="C15" s="72"/>
      <c r="D15" s="12" t="s">
        <v>19</v>
      </c>
      <c r="E15" s="15">
        <f>(E7*1000)/(42*E4)%</f>
        <v>104.87789566859028</v>
      </c>
      <c r="F15" s="14">
        <f>(F7*1000)/(42*F4)%</f>
        <v>100.47572894856614</v>
      </c>
      <c r="G15" s="14">
        <f>(G7*1000)/(42*G4)%</f>
        <v>99.665395104913458</v>
      </c>
      <c r="H15" s="14">
        <f>(H7*1000)/(42*H4)%</f>
        <v>95.209293394777262</v>
      </c>
      <c r="I15" s="14">
        <f>(I7*1000)/(42*I4)%</f>
        <v>89.898878525653558</v>
      </c>
      <c r="J15" s="34">
        <f>(J7*1000)/(42*J4)%</f>
        <v>89.147798027480647</v>
      </c>
      <c r="K15" s="14">
        <f>(K7*1000)/(42*K4)%</f>
        <v>0</v>
      </c>
      <c r="L15" s="14">
        <f>(L7*1000)/(42*L4)%</f>
        <v>0</v>
      </c>
      <c r="M15" s="14">
        <f>(M7*1000)/(42*M4)%</f>
        <v>0</v>
      </c>
      <c r="N15" s="14">
        <f>(N7*1000)/(42*$N$4)%</f>
        <v>0</v>
      </c>
      <c r="O15" s="14">
        <f>(O7*1000)/(42*$O$4)%</f>
        <v>0</v>
      </c>
      <c r="P15" s="14">
        <f>(P7*1000)/(42*$P$4)%</f>
        <v>0</v>
      </c>
      <c r="Q15" s="38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</row>
    <row r="16" spans="1:80" s="5" customFormat="1" ht="18" customHeight="1">
      <c r="A16" s="4"/>
      <c r="B16" s="66"/>
      <c r="C16" s="72" t="s">
        <v>20</v>
      </c>
      <c r="D16" s="12" t="s">
        <v>18</v>
      </c>
      <c r="E16" s="34">
        <f>(E8*1000)/(42*E4)%</f>
        <v>99.722222222222229</v>
      </c>
      <c r="F16" s="14">
        <f>(F8*1000)/(42*F4)%</f>
        <v>97.993471582181272</v>
      </c>
      <c r="G16" s="14">
        <f>(G8*1000)/(42*G4)%</f>
        <v>97.926587301587304</v>
      </c>
      <c r="H16" s="14">
        <f>(H8*1000)/(42*H4)%</f>
        <v>94.364439324116745</v>
      </c>
      <c r="I16" s="14">
        <f>(I8*1000)/(42*I4)%</f>
        <v>90.053763440860209</v>
      </c>
      <c r="J16" s="34">
        <f>(J8*1000)/(42*J4)%</f>
        <v>93.055555555555557</v>
      </c>
      <c r="K16" s="14">
        <f>(K8*1000)/(42*K4)%</f>
        <v>0</v>
      </c>
      <c r="L16" s="14">
        <f>(L8*1000)/(42*L4)%</f>
        <v>0</v>
      </c>
      <c r="M16" s="14">
        <f>(M8*1000)/(42*M4)%</f>
        <v>0</v>
      </c>
      <c r="N16" s="14">
        <f>(N8*1000)/(42*$N$4)%</f>
        <v>0</v>
      </c>
      <c r="O16" s="14">
        <f>(O8*1000)/(42*$O$4)%</f>
        <v>0</v>
      </c>
      <c r="P16" s="14">
        <f>(P8*1000)/(42*$P$4)%</f>
        <v>0</v>
      </c>
      <c r="Q16" s="38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</row>
    <row r="17" spans="1:80" s="5" customFormat="1" ht="18" customHeight="1">
      <c r="A17" s="4"/>
      <c r="B17" s="66"/>
      <c r="C17" s="72"/>
      <c r="D17" s="12" t="s">
        <v>19</v>
      </c>
      <c r="E17" s="15">
        <f>(E9*1000)/(42*E4)%</f>
        <v>102.89809859516632</v>
      </c>
      <c r="F17" s="14">
        <f>(F9*1000)/(42*F4)%</f>
        <v>96.07953358276086</v>
      </c>
      <c r="G17" s="14">
        <f>(G9*1000)/(42*G4)%</f>
        <v>100.21302942638752</v>
      </c>
      <c r="H17" s="14">
        <f>(H9*1000)/(42*H4)%</f>
        <v>95.014080901177664</v>
      </c>
      <c r="I17" s="14">
        <f>(I9*1000)/(42*I4)%</f>
        <v>93.884970278158093</v>
      </c>
      <c r="J17" s="34">
        <f>(J9*1000)/(42*J4)%</f>
        <v>87.536088747455395</v>
      </c>
      <c r="K17" s="14">
        <f>(K9*1000)/(42*K4)%</f>
        <v>0</v>
      </c>
      <c r="L17" s="14">
        <f>(L9*1000)/(42*L4)%</f>
        <v>0</v>
      </c>
      <c r="M17" s="14">
        <f>(M9*1000)/(42*M4)%</f>
        <v>0</v>
      </c>
      <c r="N17" s="14">
        <f>(N9*1000)/(42*$N$4)%</f>
        <v>0</v>
      </c>
      <c r="O17" s="14">
        <f>(O9*1000)/(42*$O$4)%</f>
        <v>0</v>
      </c>
      <c r="P17" s="14">
        <f>(P9*1000)/(42*$P$4)%</f>
        <v>0</v>
      </c>
      <c r="Q17" s="38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</row>
    <row r="18" spans="1:80" s="5" customFormat="1" ht="18" customHeight="1">
      <c r="A18" s="4"/>
      <c r="B18" s="66"/>
      <c r="C18" s="72" t="s">
        <v>21</v>
      </c>
      <c r="D18" s="12" t="s">
        <v>18</v>
      </c>
      <c r="E18" s="34">
        <f>(E10*1000)/(28*E4)%</f>
        <v>99.722222222222229</v>
      </c>
      <c r="F18" s="14">
        <f>(F10*1000)/(28*F4)%</f>
        <v>97.993471582181257</v>
      </c>
      <c r="G18" s="14">
        <f>(G10*1000)/(28*G4)%</f>
        <v>97.926587301587304</v>
      </c>
      <c r="H18" s="14">
        <f>(H10*1000)/(28*H4)%</f>
        <v>94.364439324116745</v>
      </c>
      <c r="I18" s="14">
        <f>(I10*1000)/(28*I4)%</f>
        <v>99.731182795698928</v>
      </c>
      <c r="J18" s="34">
        <f>(J10*1000)/(28*J4)%</f>
        <v>103.05555555555556</v>
      </c>
      <c r="K18" s="14">
        <f>(K10*1000)/(28*K4)%</f>
        <v>0</v>
      </c>
      <c r="L18" s="14">
        <f>(L10*1000)/(28*L4)%</f>
        <v>0</v>
      </c>
      <c r="M18" s="14">
        <f>(M10*1000)/(28*M4)%</f>
        <v>0</v>
      </c>
      <c r="N18" s="14">
        <f>(N10*1000)/(28*$N$4)%</f>
        <v>0</v>
      </c>
      <c r="O18" s="14">
        <f>(O10*1000)/(28*$O$4)%</f>
        <v>0</v>
      </c>
      <c r="P18" s="14">
        <f>(P10*1000)/(28*$P$4)%</f>
        <v>0</v>
      </c>
      <c r="Q18" s="38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</row>
    <row r="19" spans="1:80" s="5" customFormat="1" ht="18" customHeight="1">
      <c r="A19" s="4"/>
      <c r="B19" s="66"/>
      <c r="C19" s="72"/>
      <c r="D19" s="12" t="s">
        <v>19</v>
      </c>
      <c r="E19" s="15">
        <f>(E11*1000)/(28*E4)%</f>
        <v>103.09479084642857</v>
      </c>
      <c r="F19" s="14">
        <f>(F11*1000)/(28*F4)%</f>
        <v>100.48768253437221</v>
      </c>
      <c r="G19" s="14">
        <f>(G11*1000)/(28*G4)%</f>
        <v>99.920947342433493</v>
      </c>
      <c r="H19" s="14">
        <f>(H11*1000)/(28*H4)%</f>
        <v>100.53763440860216</v>
      </c>
      <c r="I19" s="14">
        <f>(I11*1000)/(28*I4)%</f>
        <v>97.940120611486776</v>
      </c>
      <c r="J19" s="34">
        <f>(J11*1000)/(28*J4)%</f>
        <v>95.502196755068695</v>
      </c>
      <c r="K19" s="14">
        <f>(K11*1000)/(28*K4)%</f>
        <v>0</v>
      </c>
      <c r="L19" s="14">
        <f>(L11*1000)/(28*L4)%</f>
        <v>0</v>
      </c>
      <c r="M19" s="14">
        <f>(M11*1000)/(28*M4)%</f>
        <v>0</v>
      </c>
      <c r="N19" s="14">
        <f>(N11*1000)/(28*$N$4)%</f>
        <v>0</v>
      </c>
      <c r="O19" s="14">
        <f>(O11*1000)/(28*$O$4)%</f>
        <v>0</v>
      </c>
      <c r="P19" s="14">
        <f>(P11*1000)/(28*$P$4)%</f>
        <v>0</v>
      </c>
      <c r="Q19" s="38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</row>
    <row r="20" spans="1:80" s="5" customFormat="1" ht="18" customHeight="1">
      <c r="A20" s="4"/>
      <c r="B20" s="66"/>
      <c r="C20" s="72" t="s">
        <v>22</v>
      </c>
      <c r="D20" s="12" t="s">
        <v>18</v>
      </c>
      <c r="E20" s="34">
        <f>(E12*1000)/(112*E4)%</f>
        <v>99.722222222222229</v>
      </c>
      <c r="F20" s="14">
        <f>(F12*1000)/(112*F4)%</f>
        <v>97.993471582181257</v>
      </c>
      <c r="G20" s="14">
        <f>(G12*1000)/(112*G4)%</f>
        <v>97.926587301587304</v>
      </c>
      <c r="H20" s="14">
        <f>(H12*1000)/(112*H4)%</f>
        <v>94.364439324116745</v>
      </c>
      <c r="I20" s="14">
        <f>(I12*1000)/(112*I4)%</f>
        <v>94.287634408602159</v>
      </c>
      <c r="J20" s="34">
        <f>(J12*1000)/(112*J4)%</f>
        <v>97.430555555555557</v>
      </c>
      <c r="K20" s="14">
        <f>(K12*1000)/(112*K4)%</f>
        <v>0</v>
      </c>
      <c r="L20" s="14">
        <f>(L12*1000)/(112*L4)%</f>
        <v>0</v>
      </c>
      <c r="M20" s="14">
        <f>(M12*1000)/(112*M4)%</f>
        <v>0</v>
      </c>
      <c r="N20" s="14">
        <f>(N12*1000)/(112*$N$4)%</f>
        <v>0</v>
      </c>
      <c r="O20" s="14">
        <f>(O12*1000)/(112*$O$4)%</f>
        <v>0</v>
      </c>
      <c r="P20" s="14">
        <f>(P12*1000)/(112*$P$4)%</f>
        <v>0</v>
      </c>
      <c r="Q20" s="39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</row>
    <row r="21" spans="1:80" s="5" customFormat="1" ht="18" customHeight="1">
      <c r="A21" s="4"/>
      <c r="B21" s="67"/>
      <c r="C21" s="73"/>
      <c r="D21" s="18" t="s">
        <v>19</v>
      </c>
      <c r="E21" s="20">
        <f>(E13*1000)/(112*E4)%</f>
        <v>103.68969556051589</v>
      </c>
      <c r="F21" s="26">
        <f>(F13*1000)/(112*F4)%</f>
        <v>98.830144082840704</v>
      </c>
      <c r="G21" s="26">
        <f>(G13*1000)/(112*G4)%</f>
        <v>99.934646034846253</v>
      </c>
      <c r="H21" s="26">
        <f>(H13*1000)/(112*H4)%</f>
        <v>96.468173963133637</v>
      </c>
      <c r="I21" s="19">
        <f>(I13*1000)/(112*I4)%</f>
        <v>93.403973454301067</v>
      </c>
      <c r="J21" s="26">
        <f>(J13*1000)/(112*J4)%</f>
        <v>90.132006729368186</v>
      </c>
      <c r="K21" s="19">
        <f>(K13*1000)/(112*K4)%</f>
        <v>0</v>
      </c>
      <c r="L21" s="19">
        <f>(L13*1000)/(112*L4)%</f>
        <v>0</v>
      </c>
      <c r="M21" s="19">
        <f>(M13*1000)/(112*M4)%</f>
        <v>0</v>
      </c>
      <c r="N21" s="19">
        <f>(N13*1000)/(112*$N$4)%</f>
        <v>0</v>
      </c>
      <c r="O21" s="19">
        <f>(O13*1000)/(112*$O$4)%</f>
        <v>0</v>
      </c>
      <c r="P21" s="19">
        <f>(P13*1000)/(112*$P$4)%</f>
        <v>0</v>
      </c>
      <c r="Q21" s="39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</row>
    <row r="22" spans="1:80" ht="18" customHeight="1">
      <c r="B22" s="68" t="s">
        <v>24</v>
      </c>
      <c r="C22" s="71" t="s">
        <v>17</v>
      </c>
      <c r="D22" s="51" t="s">
        <v>18</v>
      </c>
      <c r="E22" s="53">
        <v>99.722222222222229</v>
      </c>
      <c r="F22" s="55">
        <v>99.193548387096769</v>
      </c>
      <c r="G22" s="53">
        <v>99.166700000000006</v>
      </c>
      <c r="H22" s="56">
        <v>94.166666666666671</v>
      </c>
      <c r="I22" s="53">
        <v>94.722222222222229</v>
      </c>
      <c r="J22" s="54">
        <v>94.722222222222229</v>
      </c>
      <c r="K22" s="53"/>
      <c r="L22" s="52"/>
      <c r="M22" s="53"/>
      <c r="N22" s="53"/>
      <c r="O22" s="53"/>
      <c r="P22" s="53"/>
      <c r="Q22" s="9"/>
    </row>
    <row r="23" spans="1:80" ht="18" customHeight="1">
      <c r="B23" s="69"/>
      <c r="C23" s="72"/>
      <c r="D23" s="41" t="s">
        <v>19</v>
      </c>
      <c r="E23" s="13">
        <v>100</v>
      </c>
      <c r="F23" s="48">
        <v>99.388440860215056</v>
      </c>
      <c r="G23" s="43">
        <v>96.431327160493822</v>
      </c>
      <c r="H23" s="13">
        <v>97.565509259259258</v>
      </c>
      <c r="I23" s="13">
        <v>96.540472670250892</v>
      </c>
      <c r="J23" s="43">
        <v>97.541435185185179</v>
      </c>
      <c r="K23" s="16"/>
      <c r="L23" s="16"/>
      <c r="M23" s="16"/>
      <c r="N23" s="16"/>
      <c r="O23" s="16"/>
      <c r="P23" s="16"/>
      <c r="Q23" s="37"/>
    </row>
    <row r="24" spans="1:80" ht="18" customHeight="1">
      <c r="B24" s="69"/>
      <c r="C24" s="72" t="s">
        <v>20</v>
      </c>
      <c r="D24" s="41" t="s">
        <v>18</v>
      </c>
      <c r="E24" s="13">
        <v>99.722222222222229</v>
      </c>
      <c r="F24" s="46">
        <v>99.193548387096769</v>
      </c>
      <c r="G24" s="53">
        <v>99.166700000000006</v>
      </c>
      <c r="H24" s="13">
        <v>94.166666666666671</v>
      </c>
      <c r="I24" s="14">
        <v>89.722222222222229</v>
      </c>
      <c r="J24" s="34">
        <v>89.722222222222229</v>
      </c>
      <c r="K24" s="13"/>
      <c r="L24" s="14"/>
      <c r="M24" s="14"/>
      <c r="N24" s="13"/>
      <c r="O24" s="14"/>
      <c r="P24" s="53"/>
      <c r="Q24" s="35"/>
    </row>
    <row r="25" spans="1:80" ht="18" customHeight="1">
      <c r="B25" s="69"/>
      <c r="C25" s="72"/>
      <c r="D25" s="41" t="s">
        <v>19</v>
      </c>
      <c r="E25" s="13">
        <v>99.875</v>
      </c>
      <c r="F25" s="48">
        <v>97.137500000000003</v>
      </c>
      <c r="G25" s="43">
        <v>98.543209876543216</v>
      </c>
      <c r="H25" s="13">
        <v>93.351157407407413</v>
      </c>
      <c r="I25" s="13">
        <v>92.2524641577061</v>
      </c>
      <c r="J25" s="43">
        <v>97.844444444444449</v>
      </c>
      <c r="K25" s="16"/>
      <c r="L25" s="16"/>
      <c r="M25" s="16"/>
      <c r="N25" s="16"/>
      <c r="O25" s="16"/>
      <c r="P25" s="16"/>
      <c r="Q25" s="37"/>
    </row>
    <row r="26" spans="1:80" ht="18" customHeight="1">
      <c r="B26" s="69"/>
      <c r="C26" s="72" t="s">
        <v>21</v>
      </c>
      <c r="D26" s="41" t="s">
        <v>18</v>
      </c>
      <c r="E26" s="13">
        <v>99.722222222222229</v>
      </c>
      <c r="F26" s="46">
        <v>99.193548387096769</v>
      </c>
      <c r="G26" s="53">
        <v>99.166700000000006</v>
      </c>
      <c r="H26" s="13">
        <v>99.166666666666671</v>
      </c>
      <c r="I26" s="14">
        <v>99.722222222222229</v>
      </c>
      <c r="J26" s="34">
        <v>99.722222222222229</v>
      </c>
      <c r="K26" s="13"/>
      <c r="L26" s="14"/>
      <c r="M26" s="14"/>
      <c r="N26" s="13"/>
      <c r="O26" s="14"/>
      <c r="P26" s="53"/>
      <c r="Q26" s="35"/>
    </row>
    <row r="27" spans="1:80" ht="18" customHeight="1">
      <c r="B27" s="69"/>
      <c r="C27" s="72"/>
      <c r="D27" s="41" t="s">
        <v>19</v>
      </c>
      <c r="E27" s="13">
        <v>100</v>
      </c>
      <c r="F27" s="40">
        <v>99.061827956989248</v>
      </c>
      <c r="G27" s="16">
        <v>100</v>
      </c>
      <c r="H27" s="13">
        <v>100</v>
      </c>
      <c r="I27" s="16">
        <v>100</v>
      </c>
      <c r="J27" s="43">
        <v>99.620833333333337</v>
      </c>
      <c r="K27" s="16"/>
      <c r="L27" s="16"/>
      <c r="M27" s="16"/>
      <c r="N27" s="16"/>
      <c r="O27" s="16"/>
      <c r="P27" s="16"/>
      <c r="Q27" s="37"/>
    </row>
    <row r="28" spans="1:80" ht="18" customHeight="1">
      <c r="B28" s="69"/>
      <c r="C28" s="72" t="s">
        <v>22</v>
      </c>
      <c r="D28" s="41" t="s">
        <v>18</v>
      </c>
      <c r="E28" s="13">
        <v>99.722222222222229</v>
      </c>
      <c r="F28" s="46">
        <v>99.193548387096769</v>
      </c>
      <c r="G28" s="53">
        <v>99.166700000000006</v>
      </c>
      <c r="H28" s="58">
        <v>95.564516129032256</v>
      </c>
      <c r="I28" s="14">
        <v>94.287634408602145</v>
      </c>
      <c r="J28" s="34">
        <v>94.287634408602145</v>
      </c>
      <c r="K28" s="13"/>
      <c r="L28" s="14"/>
      <c r="M28" s="14"/>
      <c r="N28" s="13"/>
      <c r="O28" s="14"/>
      <c r="P28" s="53"/>
      <c r="Q28" s="36"/>
    </row>
    <row r="29" spans="1:80" ht="18" customHeight="1">
      <c r="B29" s="70"/>
      <c r="C29" s="81"/>
      <c r="D29" s="17" t="s">
        <v>19</v>
      </c>
      <c r="E29" s="59">
        <v>99.953125</v>
      </c>
      <c r="F29" s="59">
        <v>98.462684811827955</v>
      </c>
      <c r="G29" s="59">
        <v>98.115451388888886</v>
      </c>
      <c r="H29" s="59">
        <v>96.703629032258064</v>
      </c>
      <c r="I29" s="22">
        <v>95.797351310483904</v>
      </c>
      <c r="J29" s="23">
        <v>98.233786962365585</v>
      </c>
      <c r="K29" s="33"/>
      <c r="L29" s="33"/>
      <c r="M29" s="33"/>
      <c r="N29" s="33"/>
      <c r="O29" s="33"/>
      <c r="P29" s="33"/>
      <c r="Q29" s="37"/>
    </row>
    <row r="30" spans="1:80" ht="18" customHeight="1">
      <c r="B30" s="68" t="s">
        <v>25</v>
      </c>
      <c r="C30" s="79" t="s">
        <v>22</v>
      </c>
      <c r="D30" s="51" t="s">
        <v>18</v>
      </c>
      <c r="E30" s="56">
        <v>5.6218493405063077</v>
      </c>
      <c r="F30" s="54">
        <v>5.7551209728146482</v>
      </c>
      <c r="G30" s="54">
        <v>5.5670000000000002</v>
      </c>
      <c r="H30" s="54">
        <v>5.6427624959203211</v>
      </c>
      <c r="I30" s="54">
        <v>5.6335613733692949</v>
      </c>
      <c r="J30" s="54">
        <v>5.6335613733692949</v>
      </c>
      <c r="K30" s="54"/>
      <c r="L30" s="54"/>
      <c r="M30" s="54"/>
      <c r="N30" s="54"/>
      <c r="O30" s="54"/>
      <c r="P30" s="54"/>
      <c r="Q30" s="28"/>
    </row>
    <row r="31" spans="1:80" ht="18" customHeight="1">
      <c r="B31" s="78"/>
      <c r="C31" s="80"/>
      <c r="D31" s="18" t="s">
        <v>19</v>
      </c>
      <c r="E31" s="25">
        <v>5.7303465000000005</v>
      </c>
      <c r="F31" s="26">
        <v>5.7342864218750007</v>
      </c>
      <c r="G31" s="26">
        <v>5.6401145625</v>
      </c>
      <c r="H31" s="26">
        <v>5.6535992500000001</v>
      </c>
      <c r="I31" s="26">
        <v>5.4651950000000005</v>
      </c>
      <c r="J31" s="26">
        <v>5.2392612265624994</v>
      </c>
      <c r="K31" s="26"/>
      <c r="L31" s="25"/>
      <c r="M31" s="25"/>
      <c r="N31" s="25"/>
      <c r="O31" s="25"/>
      <c r="P31" s="26"/>
      <c r="Q31" s="9"/>
    </row>
    <row r="32" spans="1:80" ht="18" customHeight="1">
      <c r="B32" s="68" t="s">
        <v>26</v>
      </c>
      <c r="C32" s="79" t="s">
        <v>22</v>
      </c>
      <c r="D32" s="51" t="s">
        <v>18</v>
      </c>
      <c r="E32" s="54">
        <f t="shared" ref="E32:P32" si="9">IFERROR(E30/E12%, "0")</f>
        <v>6.9909586904425831</v>
      </c>
      <c r="F32" s="54">
        <f t="shared" si="9"/>
        <v>7.0480074615639365</v>
      </c>
      <c r="G32" s="54">
        <f t="shared" si="9"/>
        <v>7.0496910140816533</v>
      </c>
      <c r="H32" s="54">
        <f t="shared" si="9"/>
        <v>7.1761655508194133</v>
      </c>
      <c r="I32" s="54">
        <f t="shared" si="9"/>
        <v>7.1703000882920467</v>
      </c>
      <c r="J32" s="54">
        <f t="shared" si="9"/>
        <v>7.1703000882920467</v>
      </c>
      <c r="K32" s="54" t="str">
        <f t="shared" si="9"/>
        <v>0</v>
      </c>
      <c r="L32" s="54" t="str">
        <f t="shared" si="9"/>
        <v>0</v>
      </c>
      <c r="M32" s="54" t="str">
        <f t="shared" si="9"/>
        <v>0</v>
      </c>
      <c r="N32" s="54" t="str">
        <f t="shared" si="9"/>
        <v>0</v>
      </c>
      <c r="O32" s="54" t="str">
        <f t="shared" si="9"/>
        <v>0</v>
      </c>
      <c r="P32" s="54" t="str">
        <f t="shared" si="9"/>
        <v>0</v>
      </c>
      <c r="Q32" s="9"/>
    </row>
    <row r="33" spans="2:17" ht="18" customHeight="1">
      <c r="B33" s="78"/>
      <c r="C33" s="80"/>
      <c r="D33" s="18" t="s">
        <v>19</v>
      </c>
      <c r="E33" s="19">
        <f t="shared" ref="E33:P33" si="10">IFERROR(E31/E13%, "0")</f>
        <v>6.8532214421031608</v>
      </c>
      <c r="F33" s="26">
        <f t="shared" si="10"/>
        <v>6.9630416827743744</v>
      </c>
      <c r="G33" s="26">
        <f t="shared" si="10"/>
        <v>6.9987636552002943</v>
      </c>
      <c r="H33" s="26">
        <f t="shared" si="10"/>
        <v>7.0331520184113945</v>
      </c>
      <c r="I33" s="26">
        <f t="shared" si="10"/>
        <v>7.0218145024088727</v>
      </c>
      <c r="J33" s="26">
        <f t="shared" si="10"/>
        <v>7.2084268076143641</v>
      </c>
      <c r="K33" s="26" t="str">
        <f t="shared" si="10"/>
        <v>0</v>
      </c>
      <c r="L33" s="26" t="str">
        <f t="shared" si="10"/>
        <v>0</v>
      </c>
      <c r="M33" s="24" t="str">
        <f t="shared" si="10"/>
        <v>0</v>
      </c>
      <c r="N33" s="24" t="str">
        <f t="shared" si="10"/>
        <v>0</v>
      </c>
      <c r="O33" s="26" t="str">
        <f t="shared" si="10"/>
        <v>0</v>
      </c>
      <c r="P33" s="26" t="str">
        <f t="shared" si="10"/>
        <v>0</v>
      </c>
    </row>
    <row r="34" spans="2:17" ht="18" customHeight="1">
      <c r="B34" s="68" t="s">
        <v>27</v>
      </c>
      <c r="C34" s="79" t="s">
        <v>22</v>
      </c>
      <c r="D34" s="51" t="s">
        <v>18</v>
      </c>
      <c r="E34" s="55">
        <v>265372.79999999999</v>
      </c>
      <c r="F34" s="55">
        <v>261299.20000000004</v>
      </c>
      <c r="G34" s="55">
        <v>189523.20000000001</v>
      </c>
      <c r="H34" s="55">
        <v>165127.20000000001</v>
      </c>
      <c r="I34" s="55">
        <v>164992.79999999999</v>
      </c>
      <c r="J34" s="55">
        <v>164992.79999999999</v>
      </c>
      <c r="K34" s="54"/>
      <c r="L34" s="54"/>
      <c r="M34" s="54"/>
      <c r="N34" s="54"/>
      <c r="O34" s="54"/>
      <c r="P34" s="54"/>
      <c r="Q34" s="9"/>
    </row>
    <row r="35" spans="2:17" ht="18" customHeight="1">
      <c r="B35" s="78"/>
      <c r="C35" s="80"/>
      <c r="D35" s="18" t="s">
        <v>19</v>
      </c>
      <c r="E35" s="20">
        <v>295345.61</v>
      </c>
      <c r="F35" s="20">
        <v>288722</v>
      </c>
      <c r="G35" s="20">
        <v>228617.59</v>
      </c>
      <c r="H35" s="20">
        <v>189330.68</v>
      </c>
      <c r="I35" s="61">
        <v>164648.06</v>
      </c>
      <c r="J35" s="20">
        <v>134861.79</v>
      </c>
      <c r="K35" s="26"/>
      <c r="L35" s="26"/>
      <c r="M35" s="26"/>
      <c r="N35" s="26"/>
      <c r="O35" s="26"/>
      <c r="P35" s="26"/>
    </row>
    <row r="36" spans="2:17" ht="18" customHeight="1">
      <c r="B36" s="68" t="s">
        <v>28</v>
      </c>
      <c r="C36" s="79" t="s">
        <v>22</v>
      </c>
      <c r="D36" s="51" t="s">
        <v>18</v>
      </c>
      <c r="E36" s="54">
        <f>E34/(E12*1000)</f>
        <v>3.3</v>
      </c>
      <c r="F36" s="54">
        <f t="shared" ref="F36:P36" si="11">F34/(F12*1000)</f>
        <v>3.2000000000000006</v>
      </c>
      <c r="G36" s="54">
        <f t="shared" si="11"/>
        <v>2.4000000000000004</v>
      </c>
      <c r="H36" s="54">
        <f t="shared" si="11"/>
        <v>2.1</v>
      </c>
      <c r="I36" s="54">
        <f t="shared" si="11"/>
        <v>2.0999999999999996</v>
      </c>
      <c r="J36" s="54">
        <f t="shared" si="11"/>
        <v>2.0999999999999996</v>
      </c>
      <c r="K36" s="54" t="e">
        <f t="shared" si="11"/>
        <v>#DIV/0!</v>
      </c>
      <c r="L36" s="54" t="e">
        <f t="shared" si="11"/>
        <v>#DIV/0!</v>
      </c>
      <c r="M36" s="54" t="e">
        <f t="shared" si="11"/>
        <v>#DIV/0!</v>
      </c>
      <c r="N36" s="54" t="e">
        <f t="shared" si="11"/>
        <v>#DIV/0!</v>
      </c>
      <c r="O36" s="54" t="e">
        <f t="shared" si="11"/>
        <v>#DIV/0!</v>
      </c>
      <c r="P36" s="54" t="e">
        <f t="shared" si="11"/>
        <v>#DIV/0!</v>
      </c>
      <c r="Q36" s="9"/>
    </row>
    <row r="37" spans="2:17" ht="18" customHeight="1">
      <c r="B37" s="78"/>
      <c r="C37" s="80"/>
      <c r="D37" s="18" t="s">
        <v>19</v>
      </c>
      <c r="E37" s="54">
        <f>E35/(E13*1000)</f>
        <v>3.5321928041926212</v>
      </c>
      <c r="F37" s="54">
        <f t="shared" ref="F37:P37" si="12">F35/(F13*1000)</f>
        <v>3.5058997281071047</v>
      </c>
      <c r="G37" s="54">
        <f t="shared" si="12"/>
        <v>2.8368935809741047</v>
      </c>
      <c r="H37" s="54">
        <f t="shared" si="12"/>
        <v>2.3552986253654287</v>
      </c>
      <c r="I37" s="54">
        <f t="shared" si="12"/>
        <v>2.1154380319485147</v>
      </c>
      <c r="J37" s="54">
        <f t="shared" si="12"/>
        <v>1.8554931703542579</v>
      </c>
      <c r="K37" s="54" t="e">
        <f t="shared" si="12"/>
        <v>#DIV/0!</v>
      </c>
      <c r="L37" s="54" t="e">
        <f t="shared" si="12"/>
        <v>#DIV/0!</v>
      </c>
      <c r="M37" s="54" t="e">
        <f t="shared" si="12"/>
        <v>#DIV/0!</v>
      </c>
      <c r="N37" s="54" t="e">
        <f t="shared" si="12"/>
        <v>#DIV/0!</v>
      </c>
      <c r="O37" s="54" t="e">
        <f t="shared" si="12"/>
        <v>#DIV/0!</v>
      </c>
      <c r="P37" s="54" t="e">
        <f t="shared" si="12"/>
        <v>#DIV/0!</v>
      </c>
    </row>
    <row r="38" spans="2:17" ht="18" customHeight="1">
      <c r="B38" s="68" t="s">
        <v>29</v>
      </c>
      <c r="C38" s="79" t="s">
        <v>22</v>
      </c>
      <c r="D38" s="51" t="s">
        <v>18</v>
      </c>
      <c r="E38" s="55">
        <f>E40*E12*1000</f>
        <v>305580.79999999993</v>
      </c>
      <c r="F38" s="55">
        <f t="shared" ref="F38:J38" si="13">F40*F12*1000</f>
        <v>310292.8</v>
      </c>
      <c r="G38" s="55">
        <f t="shared" si="13"/>
        <v>300078.39999999997</v>
      </c>
      <c r="H38" s="55">
        <f t="shared" si="13"/>
        <v>298801.60000000003</v>
      </c>
      <c r="I38" s="55">
        <f t="shared" si="13"/>
        <v>298558.40000000002</v>
      </c>
      <c r="J38" s="55">
        <f t="shared" si="13"/>
        <v>298558.40000000002</v>
      </c>
      <c r="K38" s="55"/>
      <c r="L38" s="55"/>
      <c r="M38" s="55"/>
      <c r="N38" s="55">
        <f t="shared" ref="N38:P38" si="14">N12*1000*3.8</f>
        <v>0</v>
      </c>
      <c r="O38" s="55">
        <f t="shared" si="14"/>
        <v>0</v>
      </c>
      <c r="P38" s="55">
        <f t="shared" si="14"/>
        <v>0</v>
      </c>
      <c r="Q38" s="9"/>
    </row>
    <row r="39" spans="2:17" ht="18" customHeight="1">
      <c r="B39" s="78"/>
      <c r="C39" s="80"/>
      <c r="D39" s="18" t="s">
        <v>19</v>
      </c>
      <c r="E39" s="20">
        <f>E41*E13*1000</f>
        <v>315229.94678499998</v>
      </c>
      <c r="F39" s="20">
        <f t="shared" ref="F39:J39" si="15">F41*F13*1000</f>
        <v>312942.093353128</v>
      </c>
      <c r="G39" s="20">
        <f t="shared" si="15"/>
        <v>307843.48050875001</v>
      </c>
      <c r="H39" s="20">
        <f t="shared" si="15"/>
        <v>311893.8</v>
      </c>
      <c r="I39" s="20">
        <f t="shared" si="15"/>
        <v>303543.48569999996</v>
      </c>
      <c r="J39" s="20">
        <f t="shared" si="15"/>
        <v>283461.5558835938</v>
      </c>
      <c r="K39" s="26"/>
      <c r="L39" s="26"/>
      <c r="M39" s="26"/>
      <c r="N39" s="26"/>
      <c r="O39" s="26"/>
      <c r="P39" s="26"/>
    </row>
    <row r="40" spans="2:17" ht="18" customHeight="1">
      <c r="B40" s="68" t="s">
        <v>30</v>
      </c>
      <c r="C40" s="79" t="s">
        <v>22</v>
      </c>
      <c r="D40" s="51" t="s">
        <v>18</v>
      </c>
      <c r="E40" s="54">
        <v>3.8</v>
      </c>
      <c r="F40" s="54">
        <v>3.8</v>
      </c>
      <c r="G40" s="54">
        <v>3.8</v>
      </c>
      <c r="H40" s="54">
        <v>3.8</v>
      </c>
      <c r="I40" s="54">
        <v>3.8</v>
      </c>
      <c r="J40" s="54">
        <v>3.8</v>
      </c>
      <c r="K40" s="54" t="e">
        <f t="shared" ref="K40:P40" si="16">K38/(K12*1000)</f>
        <v>#DIV/0!</v>
      </c>
      <c r="L40" s="54" t="e">
        <f t="shared" si="16"/>
        <v>#DIV/0!</v>
      </c>
      <c r="M40" s="54" t="e">
        <f t="shared" si="16"/>
        <v>#DIV/0!</v>
      </c>
      <c r="N40" s="54" t="e">
        <f t="shared" si="16"/>
        <v>#DIV/0!</v>
      </c>
      <c r="O40" s="54" t="e">
        <f t="shared" si="16"/>
        <v>#DIV/0!</v>
      </c>
      <c r="P40" s="54" t="e">
        <f t="shared" si="16"/>
        <v>#DIV/0!</v>
      </c>
      <c r="Q40" s="9"/>
    </row>
    <row r="41" spans="2:17" ht="18" customHeight="1">
      <c r="B41" s="78"/>
      <c r="C41" s="80"/>
      <c r="D41" s="18" t="s">
        <v>19</v>
      </c>
      <c r="E41" s="54">
        <v>3.77</v>
      </c>
      <c r="F41" s="54">
        <v>3.8</v>
      </c>
      <c r="G41" s="54">
        <v>3.82</v>
      </c>
      <c r="H41" s="54">
        <v>3.88</v>
      </c>
      <c r="I41" s="54">
        <v>3.9</v>
      </c>
      <c r="J41" s="54">
        <v>3.9</v>
      </c>
      <c r="K41" s="54" t="e">
        <f t="shared" ref="K41:P41" si="17">K39/(K13*1000)</f>
        <v>#DIV/0!</v>
      </c>
      <c r="L41" s="54" t="e">
        <f t="shared" si="17"/>
        <v>#DIV/0!</v>
      </c>
      <c r="M41" s="54" t="e">
        <f t="shared" si="17"/>
        <v>#DIV/0!</v>
      </c>
      <c r="N41" s="54" t="e">
        <f t="shared" si="17"/>
        <v>#DIV/0!</v>
      </c>
      <c r="O41" s="54" t="e">
        <f t="shared" si="17"/>
        <v>#DIV/0!</v>
      </c>
      <c r="P41" s="54" t="e">
        <f t="shared" si="17"/>
        <v>#DIV/0!</v>
      </c>
    </row>
    <row r="42" spans="2:17" ht="18" customHeight="1">
      <c r="B42" s="68" t="s">
        <v>31</v>
      </c>
      <c r="C42" s="71" t="s">
        <v>17</v>
      </c>
      <c r="D42" s="51" t="s">
        <v>18</v>
      </c>
      <c r="E42" s="53">
        <v>0.27777777777777779</v>
      </c>
      <c r="F42" s="53">
        <v>0.80645161290322587</v>
      </c>
      <c r="G42" s="54">
        <v>0.83299999999999996</v>
      </c>
      <c r="H42" s="54">
        <v>0.83333333333333337</v>
      </c>
      <c r="I42" s="53">
        <v>0.27777777777777779</v>
      </c>
      <c r="J42" s="54">
        <v>0.27777777777777779</v>
      </c>
      <c r="K42" s="53"/>
      <c r="L42" s="52"/>
      <c r="M42" s="53"/>
      <c r="N42" s="53"/>
      <c r="O42" s="53"/>
      <c r="P42" s="53"/>
      <c r="Q42" s="9"/>
    </row>
    <row r="43" spans="2:17" ht="18" customHeight="1">
      <c r="B43" s="69"/>
      <c r="C43" s="72"/>
      <c r="D43" s="41" t="s">
        <v>19</v>
      </c>
      <c r="E43" s="16">
        <v>0</v>
      </c>
      <c r="F43" s="47">
        <v>0.61155913978494614</v>
      </c>
      <c r="G43" s="43">
        <v>0</v>
      </c>
      <c r="H43" s="43">
        <v>3.2407407407407406E-2</v>
      </c>
      <c r="I43" s="43">
        <v>3.459527329749104</v>
      </c>
      <c r="J43" s="43">
        <v>0</v>
      </c>
      <c r="K43" s="16"/>
      <c r="L43" s="16"/>
      <c r="M43" s="16"/>
      <c r="N43" s="16"/>
      <c r="O43" s="16"/>
      <c r="P43" s="16"/>
      <c r="Q43" s="37"/>
    </row>
    <row r="44" spans="2:17" ht="18" customHeight="1">
      <c r="B44" s="69"/>
      <c r="C44" s="72" t="s">
        <v>20</v>
      </c>
      <c r="D44" s="41" t="s">
        <v>18</v>
      </c>
      <c r="E44" s="53">
        <v>0.27777777777777779</v>
      </c>
      <c r="F44" s="44">
        <v>0.80645161290322587</v>
      </c>
      <c r="G44" s="54">
        <v>0.83299999999999996</v>
      </c>
      <c r="H44" s="43">
        <v>0.83333333333333337</v>
      </c>
      <c r="I44" s="14">
        <v>0.27777777777777779</v>
      </c>
      <c r="J44" s="34">
        <v>0.27777777777777779</v>
      </c>
      <c r="K44" s="13"/>
      <c r="L44" s="14"/>
      <c r="M44" s="14"/>
      <c r="N44" s="13"/>
      <c r="O44" s="14"/>
      <c r="P44" s="53"/>
      <c r="Q44" s="35"/>
    </row>
    <row r="45" spans="2:17" ht="18" customHeight="1">
      <c r="B45" s="69"/>
      <c r="C45" s="72"/>
      <c r="D45" s="41" t="s">
        <v>19</v>
      </c>
      <c r="E45" s="16">
        <v>0.12500000000000003</v>
      </c>
      <c r="F45" s="47">
        <v>2.8624999999999998</v>
      </c>
      <c r="G45" s="43">
        <v>0</v>
      </c>
      <c r="H45" s="43">
        <v>4.6296296296296294E-2</v>
      </c>
      <c r="I45" s="43">
        <v>0.29726702508960567</v>
      </c>
      <c r="J45" s="43">
        <v>0</v>
      </c>
      <c r="K45" s="16"/>
      <c r="L45" s="16"/>
      <c r="M45" s="16"/>
      <c r="N45" s="16"/>
      <c r="O45" s="16"/>
      <c r="P45" s="16"/>
      <c r="Q45" s="37"/>
    </row>
    <row r="46" spans="2:17" ht="18" customHeight="1">
      <c r="B46" s="69"/>
      <c r="C46" s="72" t="s">
        <v>21</v>
      </c>
      <c r="D46" s="41" t="s">
        <v>18</v>
      </c>
      <c r="E46" s="53">
        <v>0.27777777777777779</v>
      </c>
      <c r="F46" s="44">
        <v>0.80645161290322587</v>
      </c>
      <c r="G46" s="54">
        <v>0.83299999999999996</v>
      </c>
      <c r="H46" s="43">
        <v>0.83333333333333337</v>
      </c>
      <c r="I46" s="14">
        <v>0.27777777777777779</v>
      </c>
      <c r="J46" s="34">
        <v>0.27777777777777779</v>
      </c>
      <c r="K46" s="13"/>
      <c r="L46" s="14"/>
      <c r="M46" s="14"/>
      <c r="N46" s="13"/>
      <c r="O46" s="14"/>
      <c r="P46" s="53"/>
      <c r="Q46" s="35"/>
    </row>
    <row r="47" spans="2:17" ht="18" customHeight="1">
      <c r="B47" s="69"/>
      <c r="C47" s="72"/>
      <c r="D47" s="41" t="s">
        <v>19</v>
      </c>
      <c r="E47" s="16">
        <v>0</v>
      </c>
      <c r="F47" s="47">
        <v>0.93817204301075263</v>
      </c>
      <c r="G47" s="43">
        <v>0</v>
      </c>
      <c r="H47" s="16">
        <v>0</v>
      </c>
      <c r="I47" s="13">
        <v>0</v>
      </c>
      <c r="J47" s="43">
        <v>0</v>
      </c>
      <c r="K47" s="16"/>
      <c r="L47" s="16"/>
      <c r="M47" s="16"/>
      <c r="N47" s="16"/>
      <c r="O47" s="16"/>
      <c r="P47" s="16"/>
      <c r="Q47" s="37"/>
    </row>
    <row r="48" spans="2:17" ht="18" customHeight="1">
      <c r="B48" s="69"/>
      <c r="C48" s="72" t="s">
        <v>22</v>
      </c>
      <c r="D48" s="41" t="s">
        <v>18</v>
      </c>
      <c r="E48" s="54">
        <v>0.27777777777777779</v>
      </c>
      <c r="F48" s="60">
        <v>0.80645161290322587</v>
      </c>
      <c r="G48" s="54">
        <v>0.83299999999999996</v>
      </c>
      <c r="H48" s="43">
        <v>0.80645161290322587</v>
      </c>
      <c r="I48" s="14">
        <v>0.26881720430107525</v>
      </c>
      <c r="J48" s="34">
        <v>0.26881720430107525</v>
      </c>
      <c r="K48" s="13"/>
      <c r="L48" s="14"/>
      <c r="M48" s="14"/>
      <c r="N48" s="13"/>
      <c r="O48" s="14"/>
      <c r="P48" s="53"/>
      <c r="Q48" s="36"/>
    </row>
    <row r="49" spans="2:17" ht="18" customHeight="1">
      <c r="B49" s="70"/>
      <c r="C49" s="81"/>
      <c r="D49" s="17" t="s">
        <v>19</v>
      </c>
      <c r="E49" s="23">
        <v>4.6875000000000007E-2</v>
      </c>
      <c r="F49" s="23">
        <v>1.537315188172043</v>
      </c>
      <c r="G49" s="23">
        <v>0</v>
      </c>
      <c r="H49" s="23">
        <v>2.856182795698925E-2</v>
      </c>
      <c r="I49" s="23">
        <v>1.4087978830645163</v>
      </c>
      <c r="J49" s="23">
        <v>0</v>
      </c>
      <c r="K49" s="33"/>
      <c r="L49" s="33"/>
      <c r="M49" s="33"/>
      <c r="N49" s="33"/>
      <c r="O49" s="33"/>
      <c r="P49" s="33"/>
      <c r="Q49" s="37"/>
    </row>
    <row r="50" spans="2:17" ht="18" customHeight="1">
      <c r="B50" s="68" t="s">
        <v>32</v>
      </c>
      <c r="C50" s="71" t="s">
        <v>17</v>
      </c>
      <c r="D50" s="51" t="s">
        <v>18</v>
      </c>
      <c r="E50" s="53">
        <v>0</v>
      </c>
      <c r="F50" s="53">
        <v>0</v>
      </c>
      <c r="G50" s="54">
        <v>0</v>
      </c>
      <c r="H50" s="53">
        <v>5</v>
      </c>
      <c r="I50" s="53">
        <v>5</v>
      </c>
      <c r="J50" s="53">
        <v>5</v>
      </c>
      <c r="K50" s="53"/>
      <c r="L50" s="52"/>
      <c r="M50" s="53"/>
      <c r="N50" s="53"/>
      <c r="O50" s="53"/>
      <c r="P50" s="53"/>
      <c r="Q50" s="9"/>
    </row>
    <row r="51" spans="2:17" ht="18" customHeight="1">
      <c r="B51" s="69"/>
      <c r="C51" s="72"/>
      <c r="D51" s="41" t="s">
        <v>19</v>
      </c>
      <c r="E51" s="16">
        <v>0</v>
      </c>
      <c r="F51" s="40">
        <v>0</v>
      </c>
      <c r="G51" s="43">
        <v>3.5686728395061724</v>
      </c>
      <c r="H51" s="13">
        <v>2.4020833333333327</v>
      </c>
      <c r="I51" s="13">
        <v>0</v>
      </c>
      <c r="J51" s="13">
        <v>2.4585648148148147</v>
      </c>
      <c r="K51" s="16"/>
      <c r="L51" s="16"/>
      <c r="M51" s="16"/>
      <c r="N51" s="16"/>
      <c r="O51" s="16"/>
      <c r="P51" s="16"/>
      <c r="Q51" s="37"/>
    </row>
    <row r="52" spans="2:17" ht="18" customHeight="1">
      <c r="B52" s="69"/>
      <c r="C52" s="72" t="s">
        <v>20</v>
      </c>
      <c r="D52" s="41" t="s">
        <v>18</v>
      </c>
      <c r="E52" s="13">
        <v>0</v>
      </c>
      <c r="F52" s="44">
        <v>0</v>
      </c>
      <c r="G52" s="34">
        <v>0</v>
      </c>
      <c r="H52" s="13">
        <v>5</v>
      </c>
      <c r="I52" s="14">
        <v>10</v>
      </c>
      <c r="J52" s="14">
        <v>10</v>
      </c>
      <c r="K52" s="13"/>
      <c r="L52" s="14"/>
      <c r="M52" s="14"/>
      <c r="N52" s="13"/>
      <c r="O52" s="14"/>
      <c r="P52" s="53"/>
      <c r="Q52" s="35"/>
    </row>
    <row r="53" spans="2:17" ht="18" customHeight="1">
      <c r="B53" s="69"/>
      <c r="C53" s="72"/>
      <c r="D53" s="41" t="s">
        <v>19</v>
      </c>
      <c r="E53" s="16">
        <v>0</v>
      </c>
      <c r="F53" s="40">
        <v>0</v>
      </c>
      <c r="G53" s="43">
        <v>1.4567901234567902</v>
      </c>
      <c r="H53" s="13">
        <v>6.6025462962962971</v>
      </c>
      <c r="I53" s="13">
        <v>7.450268817204301</v>
      </c>
      <c r="J53" s="13">
        <v>2.1555555555555559</v>
      </c>
      <c r="K53" s="16"/>
      <c r="L53" s="16"/>
      <c r="M53" s="16"/>
      <c r="N53" s="16"/>
      <c r="O53" s="16"/>
      <c r="P53" s="16"/>
      <c r="Q53" s="37"/>
    </row>
    <row r="54" spans="2:17" ht="18" customHeight="1">
      <c r="B54" s="69"/>
      <c r="C54" s="72" t="s">
        <v>21</v>
      </c>
      <c r="D54" s="41" t="s">
        <v>18</v>
      </c>
      <c r="E54" s="13">
        <v>0</v>
      </c>
      <c r="F54" s="44">
        <v>0</v>
      </c>
      <c r="G54" s="34">
        <v>0</v>
      </c>
      <c r="H54" s="13">
        <v>0</v>
      </c>
      <c r="I54" s="14">
        <v>0</v>
      </c>
      <c r="J54" s="14">
        <v>0</v>
      </c>
      <c r="K54" s="13"/>
      <c r="L54" s="14"/>
      <c r="M54" s="14"/>
      <c r="N54" s="13"/>
      <c r="O54" s="14"/>
      <c r="P54" s="53"/>
      <c r="Q54" s="35"/>
    </row>
    <row r="55" spans="2:17" ht="18" customHeight="1">
      <c r="B55" s="69"/>
      <c r="C55" s="72"/>
      <c r="D55" s="41" t="s">
        <v>19</v>
      </c>
      <c r="E55" s="16">
        <v>0</v>
      </c>
      <c r="F55" s="40">
        <v>0</v>
      </c>
      <c r="G55" s="43">
        <v>0</v>
      </c>
      <c r="H55" s="13">
        <v>0</v>
      </c>
      <c r="I55" s="13">
        <v>0</v>
      </c>
      <c r="J55" s="13">
        <v>0.37916666666666665</v>
      </c>
      <c r="K55" s="16"/>
      <c r="L55" s="16"/>
      <c r="M55" s="16"/>
      <c r="N55" s="16"/>
      <c r="O55" s="16"/>
      <c r="P55" s="16"/>
      <c r="Q55" s="37"/>
    </row>
    <row r="56" spans="2:17" ht="18" customHeight="1">
      <c r="B56" s="69"/>
      <c r="C56" s="72" t="s">
        <v>22</v>
      </c>
      <c r="D56" s="41" t="s">
        <v>18</v>
      </c>
      <c r="E56" s="43">
        <v>0</v>
      </c>
      <c r="F56" s="60">
        <v>0</v>
      </c>
      <c r="G56" s="34">
        <v>0</v>
      </c>
      <c r="H56" s="43">
        <v>3.6290322580645178</v>
      </c>
      <c r="I56" s="14">
        <v>5.4435483870967802</v>
      </c>
      <c r="J56" s="14">
        <v>5.4435483870967802</v>
      </c>
      <c r="K56" s="13"/>
      <c r="L56" s="14"/>
      <c r="M56" s="14"/>
      <c r="N56" s="13"/>
      <c r="O56" s="14"/>
      <c r="P56" s="53"/>
      <c r="Q56" s="36"/>
    </row>
    <row r="57" spans="2:17" ht="18" customHeight="1">
      <c r="B57" s="78"/>
      <c r="C57" s="73"/>
      <c r="D57" s="18" t="s">
        <v>19</v>
      </c>
      <c r="E57" s="25">
        <v>0</v>
      </c>
      <c r="F57" s="25">
        <v>0</v>
      </c>
      <c r="G57" s="25">
        <v>1.8845486111111109</v>
      </c>
      <c r="H57" s="25">
        <v>3.2678091397849469</v>
      </c>
      <c r="I57" s="21">
        <v>2.7938508064516077</v>
      </c>
      <c r="J57" s="25">
        <v>1.7662130376344152</v>
      </c>
      <c r="K57" s="45"/>
      <c r="L57" s="45"/>
      <c r="M57" s="45"/>
      <c r="N57" s="45"/>
      <c r="O57" s="45"/>
      <c r="P57" s="45"/>
      <c r="Q57" s="37"/>
    </row>
    <row r="58" spans="2:17" s="1" customFormat="1">
      <c r="B58" s="27"/>
      <c r="E58" s="2"/>
      <c r="O58" s="8"/>
      <c r="Q58" s="2"/>
    </row>
    <row r="59" spans="2:17" s="1" customFormat="1">
      <c r="B59" s="30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"/>
    </row>
    <row r="60" spans="2:17" s="1" customFormat="1">
      <c r="B60" s="29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2"/>
    </row>
    <row r="61" spans="2:17" s="1" customFormat="1">
      <c r="B61" s="2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2"/>
    </row>
    <row r="62" spans="2:17" s="1" customFormat="1">
      <c r="B62" s="29"/>
      <c r="E62" s="9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2"/>
    </row>
    <row r="63" spans="2:17" s="1" customFormat="1">
      <c r="B63" s="29"/>
      <c r="E63" s="9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2"/>
    </row>
    <row r="64" spans="2:17" s="1" customFormat="1">
      <c r="B64" s="29"/>
      <c r="E64" s="9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2"/>
    </row>
    <row r="65" spans="2:17" s="1" customFormat="1">
      <c r="B65" s="29"/>
      <c r="E65" s="9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2"/>
    </row>
    <row r="66" spans="2:17" s="1" customFormat="1">
      <c r="B66" s="29"/>
      <c r="E66" s="9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2"/>
    </row>
    <row r="67" spans="2:17" s="1" customFormat="1">
      <c r="B67" s="29"/>
      <c r="E67" s="9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2"/>
    </row>
    <row r="68" spans="2:17" s="1" customFormat="1">
      <c r="B68" s="29"/>
      <c r="E68" s="2"/>
      <c r="Q68" s="2"/>
    </row>
    <row r="69" spans="2:17" s="1" customFormat="1">
      <c r="B69" s="29"/>
      <c r="E69" s="2"/>
      <c r="Q69" s="2"/>
    </row>
    <row r="70" spans="2:17" s="1" customFormat="1">
      <c r="B70" s="29"/>
      <c r="E70" s="2"/>
      <c r="Q70" s="2"/>
    </row>
    <row r="71" spans="2:17" s="1" customFormat="1">
      <c r="B71" s="29"/>
      <c r="E71" s="2"/>
      <c r="Q71" s="2"/>
    </row>
    <row r="72" spans="2:17" s="1" customFormat="1">
      <c r="B72" s="29"/>
      <c r="E72" s="2"/>
      <c r="Q72" s="2"/>
    </row>
    <row r="73" spans="2:17" s="1" customFormat="1">
      <c r="B73" s="29"/>
      <c r="E73" s="2"/>
      <c r="Q73" s="2"/>
    </row>
    <row r="74" spans="2:17" s="1" customFormat="1">
      <c r="B74" s="29"/>
      <c r="E74" s="2"/>
      <c r="Q74" s="2"/>
    </row>
    <row r="75" spans="2:17" s="1" customFormat="1">
      <c r="B75" s="29"/>
      <c r="E75" s="2"/>
      <c r="Q75" s="2"/>
    </row>
    <row r="76" spans="2:17" s="1" customFormat="1">
      <c r="B76" s="29"/>
      <c r="E76" s="2"/>
      <c r="Q76" s="2"/>
    </row>
    <row r="77" spans="2:17" s="1" customFormat="1">
      <c r="B77" s="29"/>
      <c r="E77" s="2"/>
      <c r="Q77" s="2"/>
    </row>
    <row r="78" spans="2:17" s="1" customFormat="1">
      <c r="B78" s="29"/>
      <c r="E78" s="2"/>
      <c r="Q78" s="2"/>
    </row>
    <row r="79" spans="2:17" s="1" customFormat="1">
      <c r="B79" s="29"/>
      <c r="E79" s="2"/>
      <c r="Q79" s="2"/>
    </row>
    <row r="80" spans="2:17" s="1" customFormat="1">
      <c r="B80" s="29"/>
      <c r="E80" s="2"/>
      <c r="Q80" s="2"/>
    </row>
    <row r="81" spans="2:17" s="1" customFormat="1">
      <c r="B81" s="29"/>
      <c r="E81" s="2"/>
      <c r="Q81" s="2"/>
    </row>
    <row r="82" spans="2:17" s="1" customFormat="1">
      <c r="B82" s="29"/>
      <c r="E82" s="2"/>
      <c r="Q82" s="2"/>
    </row>
    <row r="83" spans="2:17" s="1" customFormat="1">
      <c r="B83" s="29"/>
      <c r="E83" s="2"/>
      <c r="Q83" s="2"/>
    </row>
    <row r="84" spans="2:17" s="1" customFormat="1">
      <c r="B84" s="29"/>
      <c r="E84" s="2"/>
      <c r="Q84" s="2"/>
    </row>
    <row r="85" spans="2:17" s="1" customFormat="1">
      <c r="B85" s="29"/>
      <c r="E85" s="2"/>
      <c r="Q85" s="2"/>
    </row>
    <row r="86" spans="2:17" s="1" customFormat="1">
      <c r="B86" s="29"/>
      <c r="E86" s="2"/>
      <c r="Q86" s="2"/>
    </row>
    <row r="87" spans="2:17" s="1" customFormat="1">
      <c r="B87" s="29"/>
      <c r="E87" s="2"/>
      <c r="Q87" s="2"/>
    </row>
    <row r="88" spans="2:17" s="1" customFormat="1">
      <c r="B88" s="29"/>
      <c r="E88" s="2"/>
      <c r="Q88" s="2"/>
    </row>
    <row r="89" spans="2:17" s="1" customFormat="1">
      <c r="B89" s="29"/>
      <c r="E89" s="2"/>
      <c r="Q89" s="2"/>
    </row>
    <row r="90" spans="2:17" s="1" customFormat="1">
      <c r="B90" s="29"/>
      <c r="E90" s="2"/>
      <c r="Q90" s="2"/>
    </row>
    <row r="91" spans="2:17" s="1" customFormat="1">
      <c r="B91" s="29"/>
      <c r="E91" s="2"/>
      <c r="Q91" s="2"/>
    </row>
    <row r="92" spans="2:17" s="1" customFormat="1">
      <c r="B92" s="29"/>
      <c r="E92" s="2"/>
      <c r="Q92" s="2"/>
    </row>
    <row r="93" spans="2:17" s="1" customFormat="1">
      <c r="B93" s="29"/>
      <c r="E93" s="2"/>
      <c r="Q93" s="2"/>
    </row>
    <row r="94" spans="2:17" s="1" customFormat="1">
      <c r="B94" s="29"/>
      <c r="E94" s="2"/>
      <c r="Q94" s="2"/>
    </row>
    <row r="95" spans="2:17" s="1" customFormat="1">
      <c r="B95" s="29"/>
      <c r="E95" s="2"/>
      <c r="Q95" s="2"/>
    </row>
    <row r="96" spans="2:17" s="1" customFormat="1">
      <c r="B96" s="29"/>
      <c r="E96" s="2"/>
      <c r="Q96" s="2"/>
    </row>
    <row r="97" spans="2:17" s="1" customFormat="1">
      <c r="B97" s="29"/>
      <c r="E97" s="2"/>
      <c r="Q97" s="2"/>
    </row>
    <row r="98" spans="2:17" s="1" customFormat="1">
      <c r="B98" s="29"/>
      <c r="E98" s="2"/>
      <c r="Q98" s="2"/>
    </row>
    <row r="99" spans="2:17" s="1" customFormat="1">
      <c r="B99" s="29"/>
      <c r="E99" s="2"/>
      <c r="Q99" s="2"/>
    </row>
    <row r="100" spans="2:17" s="1" customFormat="1">
      <c r="B100" s="29"/>
      <c r="E100" s="2"/>
      <c r="Q100" s="2"/>
    </row>
    <row r="101" spans="2:17" s="1" customFormat="1">
      <c r="B101" s="29"/>
      <c r="E101" s="2"/>
      <c r="Q101" s="2"/>
    </row>
    <row r="102" spans="2:17" s="1" customFormat="1">
      <c r="B102" s="29"/>
      <c r="E102" s="2"/>
      <c r="Q102" s="2"/>
    </row>
    <row r="103" spans="2:17" s="1" customFormat="1">
      <c r="B103" s="29"/>
      <c r="E103" s="2"/>
      <c r="Q103" s="2"/>
    </row>
    <row r="104" spans="2:17" s="1" customFormat="1">
      <c r="B104" s="29"/>
      <c r="E104" s="2"/>
      <c r="Q104" s="2"/>
    </row>
    <row r="105" spans="2:17" s="1" customFormat="1">
      <c r="B105" s="29"/>
      <c r="E105" s="2"/>
      <c r="Q105" s="2"/>
    </row>
    <row r="106" spans="2:17" s="1" customFormat="1">
      <c r="B106" s="29"/>
      <c r="E106" s="2"/>
      <c r="Q106" s="2"/>
    </row>
    <row r="107" spans="2:17" s="1" customFormat="1">
      <c r="B107" s="29"/>
      <c r="E107" s="2"/>
      <c r="Q107" s="2"/>
    </row>
    <row r="108" spans="2:17" s="1" customFormat="1">
      <c r="B108" s="29"/>
      <c r="E108" s="2"/>
      <c r="Q108" s="2"/>
    </row>
    <row r="109" spans="2:17" s="1" customFormat="1">
      <c r="B109" s="29"/>
      <c r="E109" s="2"/>
      <c r="Q109" s="2"/>
    </row>
    <row r="110" spans="2:17" s="1" customFormat="1">
      <c r="B110" s="29"/>
      <c r="E110" s="2"/>
      <c r="Q110" s="2"/>
    </row>
    <row r="111" spans="2:17" s="1" customFormat="1">
      <c r="B111" s="29"/>
      <c r="E111" s="2"/>
      <c r="Q111" s="2"/>
    </row>
    <row r="112" spans="2:17" s="1" customFormat="1">
      <c r="B112" s="29"/>
      <c r="E112" s="2"/>
      <c r="Q112" s="2"/>
    </row>
    <row r="113" spans="2:17" s="1" customFormat="1">
      <c r="B113" s="29"/>
      <c r="E113" s="2"/>
      <c r="Q113" s="2"/>
    </row>
    <row r="114" spans="2:17" s="1" customFormat="1">
      <c r="B114" s="29"/>
      <c r="E114" s="2"/>
      <c r="Q114" s="2"/>
    </row>
    <row r="115" spans="2:17" s="1" customFormat="1">
      <c r="B115" s="29"/>
      <c r="E115" s="2"/>
      <c r="Q115" s="2"/>
    </row>
    <row r="116" spans="2:17" s="1" customFormat="1">
      <c r="B116" s="29"/>
      <c r="E116" s="2"/>
      <c r="Q116" s="2"/>
    </row>
    <row r="117" spans="2:17" s="1" customFormat="1">
      <c r="B117" s="29"/>
      <c r="E117" s="2"/>
      <c r="Q117" s="2"/>
    </row>
    <row r="118" spans="2:17" s="1" customFormat="1">
      <c r="B118" s="29"/>
      <c r="E118" s="2"/>
      <c r="Q118" s="2"/>
    </row>
    <row r="119" spans="2:17" s="1" customFormat="1">
      <c r="B119" s="29"/>
      <c r="E119" s="2"/>
      <c r="Q119" s="2"/>
    </row>
    <row r="120" spans="2:17" s="1" customFormat="1">
      <c r="B120" s="29"/>
      <c r="E120" s="2"/>
      <c r="Q120" s="2"/>
    </row>
    <row r="121" spans="2:17" s="1" customFormat="1">
      <c r="B121" s="29"/>
      <c r="E121" s="2"/>
      <c r="Q121" s="2"/>
    </row>
    <row r="122" spans="2:17" s="1" customFormat="1">
      <c r="B122" s="29"/>
      <c r="E122" s="2"/>
      <c r="Q122" s="2"/>
    </row>
    <row r="123" spans="2:17" s="1" customFormat="1">
      <c r="B123" s="29"/>
      <c r="E123" s="2"/>
      <c r="Q123" s="2"/>
    </row>
    <row r="124" spans="2:17" s="1" customFormat="1">
      <c r="B124" s="29"/>
      <c r="E124" s="2"/>
      <c r="Q124" s="2"/>
    </row>
    <row r="125" spans="2:17" s="1" customFormat="1">
      <c r="B125" s="29"/>
      <c r="E125" s="2"/>
      <c r="Q125" s="2"/>
    </row>
    <row r="126" spans="2:17" s="1" customFormat="1">
      <c r="B126" s="29"/>
      <c r="E126" s="2"/>
      <c r="Q126" s="2"/>
    </row>
    <row r="127" spans="2:17" s="1" customFormat="1">
      <c r="B127" s="29"/>
      <c r="E127" s="2"/>
      <c r="Q127" s="2"/>
    </row>
    <row r="128" spans="2:17" s="1" customFormat="1">
      <c r="B128" s="29"/>
      <c r="E128" s="2"/>
      <c r="Q128" s="2"/>
    </row>
    <row r="129" spans="2:17" s="1" customFormat="1">
      <c r="B129" s="29"/>
      <c r="E129" s="2"/>
      <c r="Q129" s="2"/>
    </row>
    <row r="130" spans="2:17" s="1" customFormat="1">
      <c r="B130" s="29"/>
      <c r="E130" s="2"/>
      <c r="Q130" s="2"/>
    </row>
    <row r="131" spans="2:17" s="1" customFormat="1">
      <c r="B131" s="29"/>
      <c r="E131" s="2"/>
      <c r="Q131" s="2"/>
    </row>
    <row r="132" spans="2:17" s="1" customFormat="1">
      <c r="B132" s="29"/>
      <c r="E132" s="2"/>
      <c r="Q132" s="2"/>
    </row>
    <row r="133" spans="2:17" s="1" customFormat="1">
      <c r="B133" s="29"/>
      <c r="E133" s="2"/>
      <c r="Q133" s="2"/>
    </row>
    <row r="134" spans="2:17" s="1" customFormat="1">
      <c r="B134" s="29"/>
      <c r="E134" s="2"/>
      <c r="Q134" s="2"/>
    </row>
    <row r="135" spans="2:17" s="1" customFormat="1">
      <c r="B135" s="29"/>
      <c r="E135" s="2"/>
      <c r="Q135" s="2"/>
    </row>
    <row r="136" spans="2:17" s="1" customFormat="1">
      <c r="B136" s="29"/>
      <c r="E136" s="2"/>
      <c r="Q136" s="2"/>
    </row>
    <row r="137" spans="2:17" s="1" customFormat="1">
      <c r="B137" s="29"/>
      <c r="E137" s="2"/>
      <c r="Q137" s="2"/>
    </row>
    <row r="138" spans="2:17" s="1" customFormat="1">
      <c r="B138" s="29"/>
      <c r="E138" s="2"/>
      <c r="Q138" s="2"/>
    </row>
    <row r="139" spans="2:17" s="1" customFormat="1">
      <c r="B139" s="29"/>
      <c r="E139" s="2"/>
      <c r="Q139" s="2"/>
    </row>
    <row r="140" spans="2:17" s="1" customFormat="1">
      <c r="B140" s="29"/>
      <c r="E140" s="2"/>
      <c r="Q140" s="2"/>
    </row>
    <row r="141" spans="2:17" s="1" customFormat="1">
      <c r="B141" s="29"/>
      <c r="E141" s="2"/>
      <c r="Q141" s="2"/>
    </row>
    <row r="142" spans="2:17" s="1" customFormat="1">
      <c r="B142" s="29"/>
      <c r="E142" s="2"/>
      <c r="Q142" s="2"/>
    </row>
    <row r="143" spans="2:17" s="1" customFormat="1">
      <c r="B143" s="29"/>
      <c r="E143" s="2"/>
      <c r="Q143" s="2"/>
    </row>
    <row r="144" spans="2:17" s="1" customFormat="1">
      <c r="B144" s="29"/>
      <c r="E144" s="2"/>
      <c r="Q144" s="2"/>
    </row>
    <row r="145" spans="2:17" s="1" customFormat="1">
      <c r="B145" s="29"/>
      <c r="E145" s="2"/>
      <c r="Q145" s="2"/>
    </row>
    <row r="146" spans="2:17" s="1" customFormat="1">
      <c r="B146" s="29"/>
      <c r="E146" s="2"/>
      <c r="Q146" s="2"/>
    </row>
    <row r="147" spans="2:17" s="1" customFormat="1">
      <c r="B147" s="29"/>
      <c r="E147" s="2"/>
      <c r="Q147" s="2"/>
    </row>
    <row r="148" spans="2:17" s="1" customFormat="1">
      <c r="B148" s="29"/>
      <c r="E148" s="2"/>
      <c r="Q148" s="2"/>
    </row>
    <row r="149" spans="2:17" s="1" customFormat="1">
      <c r="B149" s="29"/>
      <c r="E149" s="2"/>
      <c r="Q149" s="2"/>
    </row>
    <row r="150" spans="2:17" s="1" customFormat="1">
      <c r="B150" s="29"/>
      <c r="E150" s="2"/>
      <c r="Q150" s="2"/>
    </row>
    <row r="151" spans="2:17" s="1" customFormat="1">
      <c r="B151" s="29"/>
      <c r="E151" s="2"/>
      <c r="Q151" s="2"/>
    </row>
    <row r="152" spans="2:17" s="1" customFormat="1">
      <c r="B152" s="29"/>
      <c r="E152" s="2"/>
      <c r="Q152" s="2"/>
    </row>
    <row r="153" spans="2:17" s="1" customFormat="1">
      <c r="B153" s="29"/>
      <c r="E153" s="2"/>
      <c r="Q153" s="2"/>
    </row>
    <row r="154" spans="2:17" s="1" customFormat="1">
      <c r="B154" s="29"/>
      <c r="E154" s="2"/>
      <c r="Q154" s="2"/>
    </row>
    <row r="155" spans="2:17" s="1" customFormat="1">
      <c r="B155" s="29"/>
      <c r="E155" s="2"/>
      <c r="Q155" s="2"/>
    </row>
    <row r="156" spans="2:17" s="1" customFormat="1">
      <c r="B156" s="29"/>
      <c r="E156" s="2"/>
      <c r="Q156" s="2"/>
    </row>
    <row r="157" spans="2:17" s="1" customFormat="1">
      <c r="B157" s="29"/>
      <c r="E157" s="2"/>
      <c r="Q157" s="2"/>
    </row>
    <row r="158" spans="2:17" s="1" customFormat="1">
      <c r="B158" s="29"/>
      <c r="E158" s="2"/>
      <c r="Q158" s="2"/>
    </row>
    <row r="159" spans="2:17" s="1" customFormat="1">
      <c r="B159" s="29"/>
      <c r="E159" s="2"/>
      <c r="Q159" s="2"/>
    </row>
    <row r="160" spans="2:17" s="1" customFormat="1">
      <c r="B160" s="29"/>
      <c r="E160" s="2"/>
      <c r="Q160" s="2"/>
    </row>
    <row r="161" spans="2:17" s="1" customFormat="1">
      <c r="B161" s="29"/>
      <c r="E161" s="2"/>
      <c r="Q161" s="2"/>
    </row>
    <row r="162" spans="2:17" s="1" customFormat="1">
      <c r="B162" s="29"/>
      <c r="E162" s="2"/>
      <c r="Q162" s="2"/>
    </row>
    <row r="163" spans="2:17" s="1" customFormat="1">
      <c r="B163" s="29"/>
      <c r="E163" s="2"/>
      <c r="Q163" s="2"/>
    </row>
    <row r="164" spans="2:17" s="1" customFormat="1">
      <c r="B164" s="29"/>
      <c r="E164" s="2"/>
      <c r="Q164" s="2"/>
    </row>
    <row r="165" spans="2:17" s="1" customFormat="1">
      <c r="B165" s="29"/>
      <c r="E165" s="2"/>
      <c r="Q165" s="2"/>
    </row>
    <row r="166" spans="2:17" s="1" customFormat="1">
      <c r="B166" s="29"/>
      <c r="E166" s="2"/>
      <c r="Q166" s="2"/>
    </row>
    <row r="167" spans="2:17" s="1" customFormat="1">
      <c r="B167" s="29"/>
      <c r="E167" s="2"/>
      <c r="Q167" s="2"/>
    </row>
    <row r="168" spans="2:17" s="1" customFormat="1">
      <c r="B168" s="29"/>
      <c r="E168" s="2"/>
      <c r="Q168" s="2"/>
    </row>
    <row r="169" spans="2:17" s="1" customFormat="1">
      <c r="B169" s="29"/>
      <c r="E169" s="2"/>
      <c r="Q169" s="2"/>
    </row>
    <row r="170" spans="2:17" s="1" customFormat="1">
      <c r="B170" s="29"/>
      <c r="E170" s="2"/>
      <c r="Q170" s="2"/>
    </row>
    <row r="171" spans="2:17" s="1" customFormat="1">
      <c r="B171" s="29"/>
      <c r="E171" s="2"/>
      <c r="Q171" s="2"/>
    </row>
    <row r="172" spans="2:17" s="1" customFormat="1">
      <c r="B172" s="29"/>
      <c r="E172" s="2"/>
      <c r="Q172" s="2"/>
    </row>
    <row r="173" spans="2:17" s="1" customFormat="1">
      <c r="B173" s="29"/>
      <c r="E173" s="2"/>
      <c r="Q173" s="2"/>
    </row>
    <row r="174" spans="2:17" s="1" customFormat="1">
      <c r="B174" s="29"/>
      <c r="E174" s="2"/>
      <c r="Q174" s="2"/>
    </row>
    <row r="175" spans="2:17" s="1" customFormat="1">
      <c r="B175" s="29"/>
      <c r="E175" s="2"/>
      <c r="Q175" s="2"/>
    </row>
    <row r="176" spans="2:17" s="1" customFormat="1">
      <c r="B176" s="29"/>
      <c r="E176" s="2"/>
      <c r="Q176" s="2"/>
    </row>
    <row r="177" spans="2:17" s="1" customFormat="1">
      <c r="B177" s="29"/>
      <c r="E177" s="2"/>
      <c r="Q177" s="2"/>
    </row>
    <row r="178" spans="2:17" s="1" customFormat="1">
      <c r="B178" s="29"/>
      <c r="E178" s="2"/>
      <c r="Q178" s="2"/>
    </row>
    <row r="179" spans="2:17" s="1" customFormat="1">
      <c r="B179" s="29"/>
      <c r="E179" s="2"/>
      <c r="Q179" s="2"/>
    </row>
    <row r="180" spans="2:17" s="1" customFormat="1">
      <c r="B180" s="29"/>
      <c r="E180" s="2"/>
      <c r="Q180" s="2"/>
    </row>
    <row r="181" spans="2:17" s="1" customFormat="1">
      <c r="B181" s="29"/>
      <c r="E181" s="2"/>
      <c r="Q181" s="2"/>
    </row>
    <row r="182" spans="2:17" s="1" customFormat="1">
      <c r="B182" s="29"/>
      <c r="E182" s="2"/>
      <c r="Q182" s="2"/>
    </row>
    <row r="183" spans="2:17" s="1" customFormat="1">
      <c r="B183" s="29"/>
      <c r="E183" s="2"/>
      <c r="Q183" s="2"/>
    </row>
    <row r="184" spans="2:17" s="1" customFormat="1">
      <c r="B184" s="29"/>
      <c r="E184" s="2"/>
      <c r="Q184" s="2"/>
    </row>
    <row r="185" spans="2:17" s="1" customFormat="1">
      <c r="B185" s="29"/>
      <c r="E185" s="2"/>
      <c r="Q185" s="2"/>
    </row>
    <row r="186" spans="2:17" s="1" customFormat="1">
      <c r="B186" s="29"/>
      <c r="E186" s="2"/>
      <c r="Q186" s="2"/>
    </row>
    <row r="187" spans="2:17" s="1" customFormat="1">
      <c r="B187" s="29"/>
      <c r="E187" s="2"/>
      <c r="Q187" s="2"/>
    </row>
    <row r="188" spans="2:17" s="1" customFormat="1">
      <c r="B188" s="29"/>
      <c r="E188" s="2"/>
      <c r="Q188" s="2"/>
    </row>
    <row r="189" spans="2:17" s="1" customFormat="1">
      <c r="B189" s="29"/>
      <c r="E189" s="2"/>
      <c r="Q189" s="2"/>
    </row>
    <row r="190" spans="2:17" s="1" customFormat="1">
      <c r="B190" s="29"/>
      <c r="E190" s="2"/>
      <c r="Q190" s="2"/>
    </row>
    <row r="191" spans="2:17" s="1" customFormat="1">
      <c r="B191" s="29"/>
      <c r="E191" s="2"/>
      <c r="Q191" s="2"/>
    </row>
    <row r="192" spans="2:17" s="1" customFormat="1">
      <c r="B192" s="29"/>
      <c r="E192" s="2"/>
      <c r="Q192" s="2"/>
    </row>
    <row r="193" spans="2:17" s="1" customFormat="1">
      <c r="B193" s="29"/>
      <c r="E193" s="2"/>
      <c r="Q193" s="2"/>
    </row>
    <row r="194" spans="2:17" s="1" customFormat="1">
      <c r="B194" s="29"/>
      <c r="E194" s="2"/>
      <c r="Q194" s="2"/>
    </row>
    <row r="195" spans="2:17" s="1" customFormat="1">
      <c r="B195" s="29"/>
      <c r="E195" s="2"/>
      <c r="Q195" s="2"/>
    </row>
    <row r="196" spans="2:17" s="1" customFormat="1">
      <c r="B196" s="29"/>
      <c r="E196" s="2"/>
      <c r="Q196" s="2"/>
    </row>
    <row r="197" spans="2:17" s="1" customFormat="1">
      <c r="B197" s="29"/>
      <c r="E197" s="2"/>
      <c r="Q197" s="2"/>
    </row>
    <row r="198" spans="2:17" s="1" customFormat="1">
      <c r="B198" s="29"/>
      <c r="E198" s="2"/>
      <c r="Q198" s="2"/>
    </row>
    <row r="199" spans="2:17" s="1" customFormat="1">
      <c r="B199" s="29"/>
      <c r="E199" s="2"/>
      <c r="Q199" s="2"/>
    </row>
    <row r="200" spans="2:17" s="1" customFormat="1">
      <c r="B200" s="29"/>
      <c r="E200" s="2"/>
      <c r="Q200" s="2"/>
    </row>
    <row r="201" spans="2:17" s="1" customFormat="1">
      <c r="B201" s="29"/>
      <c r="E201" s="2"/>
      <c r="Q201" s="2"/>
    </row>
    <row r="202" spans="2:17" s="1" customFormat="1">
      <c r="B202" s="29"/>
      <c r="E202" s="2"/>
      <c r="Q202" s="2"/>
    </row>
    <row r="203" spans="2:17" s="1" customFormat="1">
      <c r="B203" s="29"/>
      <c r="E203" s="2"/>
      <c r="Q203" s="2"/>
    </row>
    <row r="204" spans="2:17" s="1" customFormat="1">
      <c r="B204" s="29"/>
      <c r="E204" s="2"/>
      <c r="Q204" s="2"/>
    </row>
    <row r="205" spans="2:17" s="1" customFormat="1">
      <c r="B205" s="29"/>
      <c r="E205" s="2"/>
      <c r="Q205" s="2"/>
    </row>
    <row r="206" spans="2:17" s="1" customFormat="1">
      <c r="B206" s="29"/>
      <c r="E206" s="2"/>
      <c r="Q206" s="2"/>
    </row>
    <row r="207" spans="2:17" s="1" customFormat="1">
      <c r="B207" s="29"/>
      <c r="E207" s="2"/>
      <c r="Q207" s="2"/>
    </row>
    <row r="208" spans="2:17" s="1" customFormat="1">
      <c r="B208" s="29"/>
      <c r="E208" s="2"/>
      <c r="Q208" s="2"/>
    </row>
    <row r="209" spans="2:17" s="1" customFormat="1">
      <c r="B209" s="29"/>
      <c r="E209" s="2"/>
      <c r="Q209" s="2"/>
    </row>
    <row r="210" spans="2:17" s="1" customFormat="1">
      <c r="B210" s="29"/>
      <c r="E210" s="2"/>
      <c r="Q210" s="2"/>
    </row>
    <row r="211" spans="2:17" s="1" customFormat="1">
      <c r="B211" s="29"/>
      <c r="E211" s="2"/>
      <c r="Q211" s="2"/>
    </row>
    <row r="212" spans="2:17" s="1" customFormat="1">
      <c r="B212" s="29"/>
      <c r="E212" s="2"/>
      <c r="Q212" s="2"/>
    </row>
    <row r="213" spans="2:17" s="1" customFormat="1">
      <c r="B213" s="29"/>
      <c r="E213" s="2"/>
      <c r="Q213" s="2"/>
    </row>
    <row r="214" spans="2:17" s="1" customFormat="1">
      <c r="B214" s="29"/>
      <c r="E214" s="2"/>
      <c r="Q214" s="2"/>
    </row>
    <row r="215" spans="2:17" s="1" customFormat="1">
      <c r="B215" s="29"/>
      <c r="E215" s="2"/>
      <c r="Q215" s="2"/>
    </row>
    <row r="216" spans="2:17" s="1" customFormat="1">
      <c r="B216" s="29"/>
      <c r="E216" s="2"/>
      <c r="Q216" s="2"/>
    </row>
    <row r="217" spans="2:17" s="1" customFormat="1">
      <c r="B217" s="29"/>
      <c r="E217" s="2"/>
      <c r="Q217" s="2"/>
    </row>
    <row r="218" spans="2:17" s="1" customFormat="1">
      <c r="B218" s="29"/>
      <c r="E218" s="2"/>
      <c r="Q218" s="2"/>
    </row>
    <row r="219" spans="2:17" s="1" customFormat="1">
      <c r="B219" s="29"/>
      <c r="E219" s="2"/>
      <c r="Q219" s="2"/>
    </row>
    <row r="220" spans="2:17" s="1" customFormat="1">
      <c r="B220" s="29"/>
      <c r="E220" s="2"/>
      <c r="Q220" s="2"/>
    </row>
    <row r="221" spans="2:17" s="1" customFormat="1">
      <c r="B221" s="29"/>
      <c r="E221" s="2"/>
      <c r="Q221" s="2"/>
    </row>
    <row r="222" spans="2:17" s="1" customFormat="1">
      <c r="B222" s="29"/>
      <c r="E222" s="2"/>
      <c r="Q222" s="2"/>
    </row>
    <row r="223" spans="2:17" s="1" customFormat="1">
      <c r="B223" s="29"/>
      <c r="E223" s="2"/>
      <c r="Q223" s="2"/>
    </row>
    <row r="224" spans="2:17" s="1" customFormat="1">
      <c r="B224" s="29"/>
      <c r="E224" s="2"/>
      <c r="Q224" s="2"/>
    </row>
    <row r="225" spans="2:17" s="1" customFormat="1">
      <c r="B225" s="29"/>
      <c r="E225" s="2"/>
      <c r="Q225" s="2"/>
    </row>
    <row r="226" spans="2:17" s="1" customFormat="1">
      <c r="B226" s="29"/>
      <c r="E226" s="2"/>
      <c r="Q226" s="2"/>
    </row>
    <row r="227" spans="2:17" s="1" customFormat="1">
      <c r="B227" s="29"/>
      <c r="E227" s="2"/>
      <c r="Q227" s="2"/>
    </row>
    <row r="228" spans="2:17" s="1" customFormat="1">
      <c r="B228" s="29"/>
      <c r="E228" s="2"/>
      <c r="Q228" s="2"/>
    </row>
    <row r="229" spans="2:17" s="1" customFormat="1">
      <c r="B229" s="29"/>
      <c r="E229" s="2"/>
      <c r="Q229" s="2"/>
    </row>
    <row r="230" spans="2:17" s="1" customFormat="1">
      <c r="B230" s="29"/>
      <c r="E230" s="2"/>
      <c r="Q230" s="2"/>
    </row>
    <row r="231" spans="2:17" s="1" customFormat="1">
      <c r="B231" s="29"/>
      <c r="E231" s="2"/>
      <c r="Q231" s="2"/>
    </row>
    <row r="232" spans="2:17" s="1" customFormat="1">
      <c r="B232" s="29"/>
      <c r="E232" s="2"/>
      <c r="Q232" s="2"/>
    </row>
    <row r="233" spans="2:17" s="1" customFormat="1">
      <c r="B233" s="29"/>
      <c r="E233" s="2"/>
      <c r="Q233" s="2"/>
    </row>
    <row r="234" spans="2:17" s="1" customFormat="1">
      <c r="B234" s="29"/>
      <c r="E234" s="2"/>
      <c r="Q234" s="2"/>
    </row>
    <row r="235" spans="2:17" s="1" customFormat="1">
      <c r="B235" s="29"/>
      <c r="E235" s="2"/>
      <c r="Q235" s="2"/>
    </row>
    <row r="236" spans="2:17" s="1" customFormat="1">
      <c r="B236" s="29"/>
      <c r="E236" s="2"/>
      <c r="Q236" s="2"/>
    </row>
    <row r="237" spans="2:17" s="1" customFormat="1">
      <c r="B237" s="29"/>
      <c r="E237" s="2"/>
      <c r="Q237" s="2"/>
    </row>
    <row r="238" spans="2:17" s="1" customFormat="1">
      <c r="B238" s="29"/>
      <c r="E238" s="2"/>
      <c r="Q238" s="2"/>
    </row>
    <row r="239" spans="2:17" s="1" customFormat="1">
      <c r="B239" s="29"/>
      <c r="E239" s="2"/>
      <c r="Q239" s="2"/>
    </row>
    <row r="240" spans="2:17" s="1" customFormat="1">
      <c r="B240" s="29"/>
      <c r="E240" s="2"/>
      <c r="Q240" s="2"/>
    </row>
    <row r="241" spans="2:17" s="1" customFormat="1">
      <c r="B241" s="29"/>
      <c r="E241" s="2"/>
      <c r="Q241" s="2"/>
    </row>
    <row r="242" spans="2:17" s="1" customFormat="1">
      <c r="B242" s="29"/>
      <c r="E242" s="2"/>
      <c r="Q242" s="2"/>
    </row>
    <row r="243" spans="2:17" s="1" customFormat="1">
      <c r="B243" s="29"/>
      <c r="E243" s="2"/>
      <c r="Q243" s="2"/>
    </row>
    <row r="244" spans="2:17" s="1" customFormat="1">
      <c r="B244" s="29"/>
      <c r="E244" s="2"/>
      <c r="Q244" s="2"/>
    </row>
    <row r="245" spans="2:17" s="1" customFormat="1">
      <c r="B245" s="29"/>
      <c r="E245" s="2"/>
      <c r="Q245" s="2"/>
    </row>
    <row r="246" spans="2:17" s="1" customFormat="1">
      <c r="B246" s="29"/>
      <c r="E246" s="2"/>
      <c r="Q246" s="2"/>
    </row>
    <row r="247" spans="2:17" s="1" customFormat="1">
      <c r="B247" s="29"/>
      <c r="E247" s="2"/>
      <c r="Q247" s="2"/>
    </row>
    <row r="248" spans="2:17" s="1" customFormat="1">
      <c r="B248" s="29"/>
      <c r="E248" s="2"/>
      <c r="Q248" s="2"/>
    </row>
    <row r="249" spans="2:17" s="1" customFormat="1">
      <c r="B249" s="29"/>
      <c r="E249" s="2"/>
      <c r="Q249" s="2"/>
    </row>
    <row r="250" spans="2:17" s="1" customFormat="1">
      <c r="B250" s="29"/>
      <c r="E250" s="2"/>
      <c r="Q250" s="2"/>
    </row>
    <row r="251" spans="2:17" s="1" customFormat="1">
      <c r="B251" s="29"/>
      <c r="E251" s="2"/>
      <c r="Q251" s="2"/>
    </row>
    <row r="252" spans="2:17" s="1" customFormat="1">
      <c r="B252" s="29"/>
      <c r="E252" s="2"/>
      <c r="Q252" s="2"/>
    </row>
    <row r="253" spans="2:17" s="1" customFormat="1">
      <c r="B253" s="29"/>
      <c r="E253" s="2"/>
      <c r="Q253" s="2"/>
    </row>
    <row r="254" spans="2:17" s="1" customFormat="1">
      <c r="B254" s="29"/>
      <c r="E254" s="2"/>
      <c r="Q254" s="2"/>
    </row>
    <row r="255" spans="2:17" s="1" customFormat="1">
      <c r="B255" s="29"/>
      <c r="E255" s="2"/>
      <c r="Q255" s="2"/>
    </row>
    <row r="256" spans="2:17" s="1" customFormat="1">
      <c r="B256" s="29"/>
      <c r="E256" s="2"/>
      <c r="Q256" s="2"/>
    </row>
    <row r="257" spans="2:17" s="1" customFormat="1">
      <c r="B257" s="29"/>
      <c r="E257" s="2"/>
      <c r="Q257" s="2"/>
    </row>
    <row r="258" spans="2:17" s="1" customFormat="1">
      <c r="B258" s="29"/>
      <c r="E258" s="2"/>
      <c r="Q258" s="2"/>
    </row>
  </sheetData>
  <mergeCells count="41">
    <mergeCell ref="B50:B57"/>
    <mergeCell ref="C50:C51"/>
    <mergeCell ref="C52:C53"/>
    <mergeCell ref="C54:C55"/>
    <mergeCell ref="C56:C57"/>
    <mergeCell ref="B38:B39"/>
    <mergeCell ref="C38:C39"/>
    <mergeCell ref="B40:B41"/>
    <mergeCell ref="C40:C41"/>
    <mergeCell ref="B42:B49"/>
    <mergeCell ref="C42:C43"/>
    <mergeCell ref="C44:C45"/>
    <mergeCell ref="C46:C47"/>
    <mergeCell ref="C48:C49"/>
    <mergeCell ref="B34:B35"/>
    <mergeCell ref="C34:C35"/>
    <mergeCell ref="B36:B37"/>
    <mergeCell ref="C36:C37"/>
    <mergeCell ref="C28:C29"/>
    <mergeCell ref="B5:D5"/>
    <mergeCell ref="B6:B13"/>
    <mergeCell ref="B30:B31"/>
    <mergeCell ref="B32:B33"/>
    <mergeCell ref="C30:C31"/>
    <mergeCell ref="C32:C33"/>
    <mergeCell ref="B2:P2"/>
    <mergeCell ref="B14:B21"/>
    <mergeCell ref="B22:B29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B3:D3"/>
    <mergeCell ref="B4:D4"/>
    <mergeCell ref="C24:C25"/>
    <mergeCell ref="C26:C27"/>
  </mergeCells>
  <phoneticPr fontId="0" type="noConversion"/>
  <printOptions horizontalCentered="1"/>
  <pageMargins left="0.2" right="0.2" top="0.3" bottom="0.3" header="0" footer="0"/>
  <pageSetup paperSize="9" scale="10" orientation="portrait" r:id="rId1"/>
  <headerFooter alignWithMargins="0">
    <oddFooter>&amp;R&amp;P</oddFooter>
  </headerFooter>
  <customProperties>
    <customPr name="EpmWorksheetKeyString_GUID" r:id="rId2"/>
    <customPr name="FPMExcelClientCellBasedFunctionStatus" r:id="rId3"/>
    <customPr name="FPMExcelClientRefreshTime" r:id="rId4"/>
  </customProperties>
  <drawing r:id="rId5"/>
  <legacyDrawing r:id="rId6"/>
  <controls>
    <mc:AlternateContent xmlns:mc="http://schemas.openxmlformats.org/markup-compatibility/2006">
      <mc:Choice Requires="x14">
        <control shapeId="2062" r:id="rId7" name="FPMExcelClientSheetOptionstb1">
          <controlPr defaultSize="0" autoLine="0" r:id="rId8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0</xdr:colOff>
                <xdr:row>0</xdr:row>
                <xdr:rowOff>0</xdr:rowOff>
              </to>
            </anchor>
          </controlPr>
        </control>
      </mc:Choice>
      <mc:Fallback>
        <control shapeId="2062" r:id="rId7" name="FPMExcelClientSheetOptionstb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Tata Power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OE Group</dc:creator>
  <cp:keywords/>
  <dc:description/>
  <cp:lastModifiedBy>Guest User</cp:lastModifiedBy>
  <cp:revision/>
  <dcterms:created xsi:type="dcterms:W3CDTF">2003-04-09T10:12:46Z</dcterms:created>
  <dcterms:modified xsi:type="dcterms:W3CDTF">2024-11-19T10:13:09Z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b8ed580-7b07-4de3-bcfc-baf51b37f0d5_Enabled">
    <vt:lpwstr>True</vt:lpwstr>
  </property>
  <property fmtid="{D5CDD505-2E9C-101B-9397-08002B2CF9AE}" pid="3" name="MSIP_Label_9b8ed580-7b07-4de3-bcfc-baf51b37f0d5_SiteId">
    <vt:lpwstr>04ea39e3-ac5b-4971-937c-8344c97a4509</vt:lpwstr>
  </property>
  <property fmtid="{D5CDD505-2E9C-101B-9397-08002B2CF9AE}" pid="4" name="MSIP_Label_9b8ed580-7b07-4de3-bcfc-baf51b37f0d5_Owner">
    <vt:lpwstr>joydebmallick@tatapower.com</vt:lpwstr>
  </property>
  <property fmtid="{D5CDD505-2E9C-101B-9397-08002B2CF9AE}" pid="5" name="MSIP_Label_9b8ed580-7b07-4de3-bcfc-baf51b37f0d5_SetDate">
    <vt:lpwstr>2019-11-03T15:23:18.8115343Z</vt:lpwstr>
  </property>
  <property fmtid="{D5CDD505-2E9C-101B-9397-08002B2CF9AE}" pid="6" name="MSIP_Label_9b8ed580-7b07-4de3-bcfc-baf51b37f0d5_Name">
    <vt:lpwstr>Public</vt:lpwstr>
  </property>
  <property fmtid="{D5CDD505-2E9C-101B-9397-08002B2CF9AE}" pid="7" name="MSIP_Label_9b8ed580-7b07-4de3-bcfc-baf51b37f0d5_Application">
    <vt:lpwstr>Microsoft Azure Information Protection</vt:lpwstr>
  </property>
  <property fmtid="{D5CDD505-2E9C-101B-9397-08002B2CF9AE}" pid="8" name="MSIP_Label_9b8ed580-7b07-4de3-bcfc-baf51b37f0d5_Extended_MSFT_Method">
    <vt:lpwstr>Automatic</vt:lpwstr>
  </property>
  <property fmtid="{D5CDD505-2E9C-101B-9397-08002B2CF9AE}" pid="9" name="Sensitivity">
    <vt:lpwstr>Public</vt:lpwstr>
  </property>
</Properties>
</file>